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C:\张凤\LY规范文档\规范和流程\压测\"/>
    </mc:Choice>
  </mc:AlternateContent>
  <xr:revisionPtr revIDLastSave="0" documentId="13_ncr:1_{E595202E-CA65-4602-9670-387CDCB36A4E}" xr6:coauthVersionLast="46" xr6:coauthVersionMax="46" xr10:uidLastSave="{00000000-0000-0000-0000-000000000000}"/>
  <bookViews>
    <workbookView xWindow="0" yWindow="0" windowWidth="19170" windowHeight="10200" tabRatio="920" activeTab="2" xr2:uid="{00000000-000D-0000-FFFF-FFFF00000000}"/>
  </bookViews>
  <sheets>
    <sheet name="封面" sheetId="1" r:id="rId1"/>
    <sheet name="概述" sheetId="3" r:id="rId2"/>
    <sheet name="单交易测试结果" sheetId="5" r:id="rId3"/>
    <sheet name="混合联机（容量）测试结果" sheetId="6" r:id="rId4"/>
    <sheet name="测试趋势图" sheetId="11" r:id="rId5"/>
    <sheet name="稳定性测试结果" sheetId="7" r:id="rId6"/>
    <sheet name="批处理测试结果" sheetId="8" r:id="rId7"/>
    <sheet name="量化指标汇总" sheetId="9" r:id="rId8"/>
    <sheet name="缺陷清单" sheetId="10" r:id="rId9"/>
  </sheets>
  <externalReferences>
    <externalReference r:id="rId10"/>
  </externalReferences>
  <definedNames>
    <definedName name="问题跟踪" localSheetId="3">[1]选项列表!#REF!</definedName>
    <definedName name="问题跟踪" localSheetId="5">[1]选项列表!#REF!</definedName>
    <definedName name="问题跟踪">[1]选项列表!#REF!</definedName>
    <definedName name="问题状态" localSheetId="3">[1]选项列表!#REF!</definedName>
    <definedName name="问题状态" localSheetId="5">[1]选项列表!#REF!</definedName>
    <definedName name="问题状态">[1]选项列表!#REF!</definedName>
  </definedNames>
  <calcPr calcId="181029"/>
</workbook>
</file>

<file path=xl/calcChain.xml><?xml version="1.0" encoding="utf-8"?>
<calcChain xmlns="http://schemas.openxmlformats.org/spreadsheetml/2006/main">
  <c r="E5" i="6" l="1"/>
  <c r="H13" i="6"/>
  <c r="H12" i="6"/>
  <c r="H11" i="6"/>
  <c r="M10" i="6"/>
  <c r="H10" i="6"/>
  <c r="M5" i="6"/>
  <c r="G12" i="7"/>
  <c r="G11" i="7"/>
  <c r="G10" i="7"/>
  <c r="G9" i="7"/>
  <c r="G8" i="7"/>
  <c r="G7" i="7"/>
  <c r="G6" i="7"/>
  <c r="G5" i="7"/>
  <c r="G4" i="7"/>
  <c r="H8" i="6"/>
  <c r="H7" i="6"/>
  <c r="H6" i="6"/>
  <c r="H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3" authorId="0" shapeId="0" xr:uid="{00000000-0006-0000-0100-000001000000}">
      <text>
        <r>
          <rPr>
            <sz val="9"/>
            <color indexed="81"/>
            <rFont val="宋体"/>
            <family val="3"/>
            <charset val="134"/>
          </rPr>
          <t>user:
根据测试计划填写，不在本属于本次评审域的请删除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M1" authorId="0" shapeId="0" xr:uid="{00000000-0006-0000-0200-000001000000}">
      <text>
        <r>
          <rPr>
            <sz val="9"/>
            <color indexed="81"/>
            <rFont val="宋体"/>
            <family val="3"/>
            <charset val="134"/>
          </rPr>
          <t>user:
实际使用中注明是什么节点，如应用服务器、数据库服务器，如果某个节点有多台服务器，可增加IP用以区分；
多个节点情况下，请复制K-N列，插入到“执行日期”列前。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Zhang Feng, CIS-2(Digital China)</author>
  </authors>
  <commentList>
    <comment ref="P1" authorId="0" shapeId="0" xr:uid="{00000000-0006-0000-0300-000001000000}">
      <text>
        <r>
          <rPr>
            <sz val="9"/>
            <color indexed="81"/>
            <rFont val="宋体"/>
            <family val="3"/>
            <charset val="134"/>
          </rPr>
          <t>user:
实际使用中注明是什么节点，如应用服务器、数据库服务器，如果某个节点有多台服务器，可增加IP用以区分；
多个节点情况下，请复制K-N列，插入到“执行日期”列前。</t>
        </r>
      </text>
    </comment>
    <comment ref="U1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备注中需要链接趋势图，如果有其它需要说明的事项也在备注中一并说明</t>
        </r>
      </text>
    </comment>
    <comment ref="M5" authorId="1" shapeId="0" xr:uid="{00000000-0006-0000-0300-000003000000}">
      <text>
        <r>
          <rPr>
            <sz val="9"/>
            <color indexed="81"/>
            <rFont val="Tahoma"/>
            <family val="2"/>
          </rPr>
          <t xml:space="preserve">取平均
</t>
        </r>
      </text>
    </comment>
    <comment ref="M10" authorId="1" shapeId="0" xr:uid="{00000000-0006-0000-0300-000004000000}">
      <text>
        <r>
          <rPr>
            <sz val="9"/>
            <color indexed="81"/>
            <rFont val="Tahoma"/>
            <family val="2"/>
          </rPr>
          <t xml:space="preserve">取平均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00000000-0006-0000-0500-000001000000}">
      <text>
        <r>
          <rPr>
            <sz val="9"/>
            <color indexed="81"/>
            <rFont val="宋体"/>
            <family val="3"/>
            <charset val="134"/>
          </rPr>
          <t>user:
实际使用中注明是什么节点，如应用服务器、数据库服务器，如果某个节点有多台服务器，可增加IP用以区分；
多个节点情况下，请复制K-N列，插入到“执行日期”列前。</t>
        </r>
      </text>
    </comment>
    <comment ref="P1" authorId="0" shapeId="0" xr:uid="{00000000-0006-0000-0500-000002000000}">
      <text>
        <r>
          <rPr>
            <sz val="9"/>
            <color indexed="81"/>
            <rFont val="宋体"/>
            <family val="3"/>
            <charset val="134"/>
          </rPr>
          <t>user:
备注中需要链接趋势图，如果有其它需要说明的事项也在备注中一并说明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1" authorId="0" shapeId="0" xr:uid="{00000000-0006-0000-0600-000001000000}">
      <text>
        <r>
          <rPr>
            <sz val="9"/>
            <color indexed="81"/>
            <rFont val="宋体"/>
            <family val="3"/>
            <charset val="134"/>
          </rPr>
          <t>user:
如果有具体时间要求必须填写，否则填写无</t>
        </r>
      </text>
    </comment>
    <comment ref="F1" authorId="0" shapeId="0" xr:uid="{00000000-0006-0000-0600-000002000000}">
      <text>
        <r>
          <rPr>
            <sz val="9"/>
            <color indexed="81"/>
            <rFont val="宋体"/>
            <family val="3"/>
            <charset val="134"/>
          </rPr>
          <t>user:
如果有具体时间要求必须填写，否则填写无</t>
        </r>
      </text>
    </comment>
    <comment ref="I1" authorId="0" shapeId="0" xr:uid="{00000000-0006-0000-0600-000003000000}">
      <text>
        <r>
          <rPr>
            <sz val="9"/>
            <color indexed="81"/>
            <rFont val="宋体"/>
            <family val="3"/>
            <charset val="134"/>
          </rPr>
          <t>user:
说明是当天联机业务量还是某系统提供的数据文件：
如果是联机业务进一步说明是哪类联机业务；如果是数据文件具体说明是哪个系统提供的什么文件，文件名是什么</t>
        </r>
      </text>
    </comment>
    <comment ref="J1" authorId="0" shapeId="0" xr:uid="{00000000-0006-0000-0600-000004000000}">
      <text>
        <r>
          <rPr>
            <sz val="9"/>
            <color indexed="81"/>
            <rFont val="宋体"/>
            <family val="3"/>
            <charset val="134"/>
          </rPr>
          <t>user:
说明数据供哪些系统使用，是否有时间要求，如果不能及时提供如何应对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cebbank</author>
  </authors>
  <commentList>
    <comment ref="F1" authorId="0" shapeId="0" xr:uid="{00000000-0006-0000-0700-000001000000}">
      <text>
        <r>
          <rPr>
            <sz val="9"/>
            <color indexed="81"/>
            <rFont val="宋体"/>
            <family val="3"/>
            <charset val="134"/>
          </rPr>
          <t>cebbank:
斜体标识部分，需要根据系统特点明确具体的指标数据</t>
        </r>
      </text>
    </comment>
    <comment ref="D4" authorId="0" shapeId="0" xr:uid="{00000000-0006-0000-0700-000002000000}">
      <text>
        <r>
          <rPr>
            <sz val="9"/>
            <color indexed="81"/>
            <rFont val="宋体"/>
            <family val="3"/>
            <charset val="134"/>
          </rPr>
          <t>cebbank:
一般情况不建议使用并发用户数指标，除非生产上也能统计到同样的数据</t>
        </r>
      </text>
    </comment>
  </commentList>
</comments>
</file>

<file path=xl/sharedStrings.xml><?xml version="1.0" encoding="utf-8"?>
<sst xmlns="http://schemas.openxmlformats.org/spreadsheetml/2006/main" count="415" uniqueCount="180">
  <si>
    <r>
      <rPr>
        <b/>
        <sz val="10.5"/>
        <rFont val="宋体"/>
        <family val="3"/>
        <charset val="134"/>
      </rPr>
      <t>密</t>
    </r>
    <r>
      <rPr>
        <b/>
        <sz val="10.5"/>
        <rFont val="Times New Roman"/>
        <family val="1"/>
      </rPr>
      <t xml:space="preserve"> </t>
    </r>
    <r>
      <rPr>
        <b/>
        <sz val="10.5"/>
        <rFont val="宋体"/>
        <family val="3"/>
        <charset val="134"/>
      </rPr>
      <t>级：</t>
    </r>
    <r>
      <rPr>
        <sz val="26"/>
        <rFont val="Times New Roman"/>
        <family val="1"/>
      </rPr>
      <t xml:space="preserve"> </t>
    </r>
    <r>
      <rPr>
        <b/>
        <sz val="22"/>
        <rFont val="黑体"/>
        <family val="3"/>
        <charset val="134"/>
      </rPr>
      <t>普通</t>
    </r>
  </si>
  <si>
    <t>XXX系统XX改造</t>
  </si>
  <si>
    <t>非功能测试报告模板</t>
  </si>
  <si>
    <t>文 档 编 号</t>
  </si>
  <si>
    <t>文 档 版 本</t>
  </si>
  <si>
    <t>v1.1.0.0</t>
  </si>
  <si>
    <t>作      者</t>
  </si>
  <si>
    <t>最后修改日期</t>
  </si>
  <si>
    <t>系统中文名称及英文简称</t>
  </si>
  <si>
    <t>测试开始日期</t>
  </si>
  <si>
    <t>测试结束日期</t>
  </si>
  <si>
    <t>非功能测试评审域</t>
  </si>
  <si>
    <t>领域代码</t>
  </si>
  <si>
    <t>是否有
不达标项</t>
  </si>
  <si>
    <t>风险/问题说明</t>
  </si>
  <si>
    <t>应用</t>
  </si>
  <si>
    <t>APP</t>
  </si>
  <si>
    <t>系统</t>
  </si>
  <si>
    <t>SYS</t>
  </si>
  <si>
    <t>中间件</t>
  </si>
  <si>
    <t>MDW</t>
  </si>
  <si>
    <t>数据库</t>
  </si>
  <si>
    <t>DBS</t>
  </si>
  <si>
    <t>网络</t>
  </si>
  <si>
    <t>NET</t>
  </si>
  <si>
    <t>BAT</t>
  </si>
  <si>
    <t>运维架构</t>
  </si>
  <si>
    <t>ARC</t>
  </si>
  <si>
    <t>日志</t>
  </si>
  <si>
    <t>LOG</t>
  </si>
  <si>
    <t>监控</t>
  </si>
  <si>
    <t>MON</t>
  </si>
  <si>
    <t>数据备份</t>
  </si>
  <si>
    <t>DBK</t>
  </si>
  <si>
    <t>灾备应急</t>
  </si>
  <si>
    <t>EMG</t>
  </si>
  <si>
    <t>序号</t>
  </si>
  <si>
    <t>指标属性</t>
  </si>
  <si>
    <t>测试结果</t>
  </si>
  <si>
    <t>是否达标</t>
  </si>
  <si>
    <t>后评估</t>
  </si>
  <si>
    <t>交易代码</t>
  </si>
  <si>
    <t>交易名称</t>
  </si>
  <si>
    <t>并发数</t>
  </si>
  <si>
    <t>执行时间</t>
  </si>
  <si>
    <t>事务名称</t>
  </si>
  <si>
    <t>成功交
易笔数</t>
  </si>
  <si>
    <t>失败交
易笔数</t>
  </si>
  <si>
    <t>交易
成功率</t>
  </si>
  <si>
    <t>失败原因</t>
  </si>
  <si>
    <t>TPS
（笔/秒）</t>
  </si>
  <si>
    <t>ART
（秒/笔）</t>
  </si>
  <si>
    <t>资源使用率</t>
  </si>
  <si>
    <t>执行日期</t>
  </si>
  <si>
    <t>备注</t>
  </si>
  <si>
    <t>CPU使用率</t>
  </si>
  <si>
    <t>磁盘I/O使用率</t>
  </si>
  <si>
    <t>内存使用率</t>
  </si>
  <si>
    <t>JVM使用率</t>
  </si>
  <si>
    <t>本页只记录单交易负载测试结果，根据实际情况详细记录每支交易的测试数据</t>
  </si>
  <si>
    <t>本页只记录混合场景结果，每一组包含总计结果和各交易明细，并使用分组显示，分组时选中当前场景下的所有交易明细行，然后依次点击“数据-组合”,即可实现分组显示</t>
  </si>
  <si>
    <t>Total-1</t>
  </si>
  <si>
    <t>30分钟</t>
  </si>
  <si>
    <t>T001</t>
  </si>
  <si>
    <t>N001</t>
  </si>
  <si>
    <t>T002</t>
  </si>
  <si>
    <t>N002</t>
  </si>
  <si>
    <t>T003</t>
  </si>
  <si>
    <t>N003</t>
  </si>
  <si>
    <t>参数不足</t>
  </si>
  <si>
    <t>Total-2</t>
  </si>
  <si>
    <t>本页只记录稳定性场景测试结果，每有效执行一次均需记录，记录方式采用组合显示，先选中当前场景下的所有交易明细行，然后依次点击“数据-组合”,即可实现组合显示</t>
  </si>
  <si>
    <t>趋势图</t>
  </si>
  <si>
    <t>稳定性1结果趋势图（示例）：</t>
  </si>
  <si>
    <t>主步骤名称</t>
  </si>
  <si>
    <t>子步骤名称</t>
  </si>
  <si>
    <t>主要功能说明</t>
  </si>
  <si>
    <t>启动时点要求</t>
  </si>
  <si>
    <t>结束时点要求</t>
  </si>
  <si>
    <t>预期时长</t>
  </si>
  <si>
    <t>前置步骤</t>
  </si>
  <si>
    <t>数据来源说明</t>
  </si>
  <si>
    <t>数据服务说明</t>
  </si>
  <si>
    <t>指标大类</t>
  </si>
  <si>
    <t>指标小类</t>
  </si>
  <si>
    <t>指标名称</t>
  </si>
  <si>
    <t>指标值</t>
  </si>
  <si>
    <t>联机业务</t>
  </si>
  <si>
    <t>安全容量</t>
  </si>
  <si>
    <t>交易处理能力（TPS）</t>
  </si>
  <si>
    <t>关键</t>
  </si>
  <si>
    <t>安全容量必须经过稳定性验证</t>
  </si>
  <si>
    <t>交易响应时间（ART）</t>
  </si>
  <si>
    <t>并发用户数</t>
  </si>
  <si>
    <t>交易成功率</t>
  </si>
  <si>
    <t>强制</t>
  </si>
  <si>
    <t>&gt;99.5%</t>
  </si>
  <si>
    <t>平稳型&lt;80%
震荡型&lt;50%</t>
  </si>
  <si>
    <t>平稳型&lt;80%
震荡型&lt;85%</t>
  </si>
  <si>
    <t>&lt;85%</t>
  </si>
  <si>
    <t>最大容量</t>
  </si>
  <si>
    <t>最大CPU使用率</t>
  </si>
  <si>
    <t>&gt;85%</t>
  </si>
  <si>
    <t>最大交易处理能力（TPS）</t>
  </si>
  <si>
    <t>大于预期容量的200%</t>
  </si>
  <si>
    <t>最大并发用户数</t>
  </si>
  <si>
    <t>大于预期容量的150%</t>
  </si>
  <si>
    <t>稳定性</t>
  </si>
  <si>
    <t>压力持续时间</t>
  </si>
  <si>
    <t>压力点（TPS）</t>
  </si>
  <si>
    <t>CPU无异常波动</t>
  </si>
  <si>
    <t>内存无泄露及异常波动</t>
  </si>
  <si>
    <t>磁盘I/O无异常波动</t>
  </si>
  <si>
    <t>交易处理能力（TPS）无异常波动</t>
  </si>
  <si>
    <t>联机批量</t>
  </si>
  <si>
    <t>预期交易笔数</t>
  </si>
  <si>
    <t>预期处理数据量</t>
  </si>
  <si>
    <t>预期处理时长</t>
  </si>
  <si>
    <t>背景联机TPS</t>
  </si>
  <si>
    <t>日终批处理</t>
  </si>
  <si>
    <t>预期联机业务量</t>
  </si>
  <si>
    <t>预期文件大小</t>
  </si>
  <si>
    <t>平稳型&lt;95%
震荡型&lt;80%</t>
  </si>
  <si>
    <t>平稳型&lt;95%
震荡型&lt;90%</t>
  </si>
  <si>
    <t>&lt;95%</t>
  </si>
  <si>
    <t>技术指标</t>
  </si>
  <si>
    <t>扩展性</t>
  </si>
  <si>
    <t>CPU纵向扩展性（每增加一倍资源）</t>
  </si>
  <si>
    <t>&gt;60%</t>
  </si>
  <si>
    <t>服务器横向扩展性（每增加一倍资源）</t>
  </si>
  <si>
    <t>Oracle</t>
  </si>
  <si>
    <t>硬解析数量</t>
  </si>
  <si>
    <t>&lt;80(CPUs&gt;32)
&lt;20(CPUs&lt;=32)</t>
  </si>
  <si>
    <t>资源冲突</t>
  </si>
  <si>
    <t>&lt;10%</t>
  </si>
  <si>
    <t>含Concurrency_Time、Cfg_Time、App_Time</t>
  </si>
  <si>
    <t>数据库连接数</t>
  </si>
  <si>
    <t>&lt;20(CPUs&gt;32)
&lt;10(CPUs&lt;=32)</t>
  </si>
  <si>
    <t>Tuxedo</t>
  </si>
  <si>
    <t>队列等待</t>
  </si>
  <si>
    <t>服务繁忙率</t>
  </si>
  <si>
    <t>&lt;80%</t>
  </si>
  <si>
    <t>域网关TCP Buffer等待数</t>
  </si>
  <si>
    <t>WebLogic</t>
  </si>
  <si>
    <t>挂起线程数</t>
  </si>
  <si>
    <t>&lt;=10（交易时差大于4秒）
&lt;=1（交易时差小于等于4秒）</t>
  </si>
  <si>
    <t>连接泄露数</t>
  </si>
  <si>
    <t>JDBC连接使用率</t>
  </si>
  <si>
    <t>&lt;=80%</t>
  </si>
  <si>
    <t>执行线程使用率</t>
  </si>
  <si>
    <t>Full GC执行时间占用率</t>
  </si>
  <si>
    <t>&lt;=2%（联机业务）
&lt;=5%（批量业务）</t>
  </si>
  <si>
    <t>Full GC执行间隔</t>
  </si>
  <si>
    <t>&gt;5分钟（HPUX）
&gt;2分钟（AIX）</t>
  </si>
  <si>
    <t>可靠性</t>
  </si>
  <si>
    <t>服务启停时间</t>
  </si>
  <si>
    <t>重要系统或对外关键&lt;2分钟
其它系统&lt;5分钟</t>
  </si>
  <si>
    <t>服务切换时间</t>
  </si>
  <si>
    <t>缺陷ID</t>
  </si>
  <si>
    <t>缺陷描述</t>
  </si>
  <si>
    <t>缺陷状态</t>
  </si>
  <si>
    <t>缺陷原因</t>
  </si>
  <si>
    <t>是否上线变更</t>
  </si>
  <si>
    <t>张凤</t>
    <phoneticPr fontId="21" type="noConversion"/>
  </si>
  <si>
    <t>批处理</t>
  </si>
  <si>
    <r>
      <t>场景一结果统计汇总描述：在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TPS并发压力下执行30分钟，总交易成功数为</t>
    </r>
    <r>
      <rPr>
        <b/>
        <sz val="10"/>
        <color theme="4"/>
        <rFont val="宋体"/>
        <family val="3"/>
        <charset val="134"/>
      </rPr>
      <t>XXX</t>
    </r>
    <r>
      <rPr>
        <b/>
        <sz val="10"/>
        <color indexed="8"/>
        <rFont val="宋体"/>
        <family val="3"/>
        <charset val="134"/>
      </rPr>
      <t>笔，交易成功率为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%，总TPS为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笔/秒，</t>
    </r>
    <r>
      <rPr>
        <b/>
        <sz val="10"/>
        <color theme="4"/>
        <rFont val="宋体"/>
        <family val="3"/>
        <charset val="134"/>
      </rPr>
      <t>满足/不满足</t>
    </r>
    <r>
      <rPr>
        <b/>
        <sz val="10"/>
        <color indexed="8"/>
        <rFont val="宋体"/>
        <family val="3"/>
        <charset val="134"/>
      </rPr>
      <t>预期指标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笔/秒的要求；各交易中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接口的平均响应时间最大，为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笔/秒，</t>
    </r>
    <r>
      <rPr>
        <b/>
        <sz val="10"/>
        <color theme="4"/>
        <rFont val="宋体"/>
        <family val="3"/>
        <charset val="134"/>
      </rPr>
      <t>满足/不满足</t>
    </r>
    <r>
      <rPr>
        <b/>
        <sz val="10"/>
        <color indexed="8"/>
        <rFont val="宋体"/>
        <family val="3"/>
        <charset val="134"/>
      </rPr>
      <t>预期指标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秒的要求。</t>
    </r>
  </si>
  <si>
    <r>
      <t>场景二结果统计汇总描述：在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TPS并发压力下执行30分钟，总交易成功数为</t>
    </r>
    <r>
      <rPr>
        <b/>
        <sz val="10"/>
        <color theme="4"/>
        <rFont val="宋体"/>
        <family val="3"/>
        <charset val="134"/>
      </rPr>
      <t>XXX</t>
    </r>
    <r>
      <rPr>
        <b/>
        <sz val="10"/>
        <color indexed="8"/>
        <rFont val="宋体"/>
        <family val="3"/>
        <charset val="134"/>
      </rPr>
      <t>笔，交易成功率为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%，总TPS为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笔/秒，</t>
    </r>
    <r>
      <rPr>
        <b/>
        <sz val="10"/>
        <color theme="4"/>
        <rFont val="宋体"/>
        <family val="3"/>
        <charset val="134"/>
      </rPr>
      <t>满足/不满足</t>
    </r>
    <r>
      <rPr>
        <b/>
        <sz val="10"/>
        <color indexed="8"/>
        <rFont val="宋体"/>
        <family val="3"/>
        <charset val="134"/>
      </rPr>
      <t>预期指标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笔/秒的要求；各交易中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接口的平均响应时间最大，为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笔/秒，</t>
    </r>
    <r>
      <rPr>
        <b/>
        <sz val="10"/>
        <color theme="4"/>
        <rFont val="宋体"/>
        <family val="3"/>
        <charset val="134"/>
      </rPr>
      <t>满足/不满足</t>
    </r>
    <r>
      <rPr>
        <b/>
        <sz val="10"/>
        <color indexed="8"/>
        <rFont val="宋体"/>
        <family val="3"/>
        <charset val="134"/>
      </rPr>
      <t>预期指标</t>
    </r>
    <r>
      <rPr>
        <b/>
        <sz val="10"/>
        <color theme="4"/>
        <rFont val="宋体"/>
        <family val="3"/>
        <charset val="134"/>
      </rPr>
      <t>XX</t>
    </r>
    <r>
      <rPr>
        <b/>
        <sz val="10"/>
        <color indexed="8"/>
        <rFont val="宋体"/>
        <family val="3"/>
        <charset val="134"/>
      </rPr>
      <t>秒的要求。</t>
    </r>
  </si>
  <si>
    <t>ART</t>
  </si>
  <si>
    <t>返回</t>
  </si>
  <si>
    <t>结果值TPS
（笔/秒）</t>
  </si>
  <si>
    <t>TPS
是否达标</t>
  </si>
  <si>
    <t>是</t>
  </si>
  <si>
    <t>ART
是否达标</t>
  </si>
  <si>
    <t>结果值ART
（秒/笔）</t>
  </si>
  <si>
    <t>否</t>
  </si>
  <si>
    <t>预期处理能力TPS（笔/秒）</t>
    <phoneticPr fontId="21" type="noConversion"/>
  </si>
  <si>
    <t>预期平均响应时间ART
（秒/笔）</t>
    <phoneticPr fontId="21" type="noConversion"/>
  </si>
  <si>
    <t>并发用户</t>
    <phoneticPr fontId="21" type="noConversion"/>
  </si>
  <si>
    <t>交易代码</t>
    <phoneticPr fontId="21" type="noConversion"/>
  </si>
  <si>
    <t>TPS
（笔/秒）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</si>
</sst>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6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i/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1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0.5"/>
      <name val="宋体"/>
      <family val="3"/>
      <charset val="134"/>
    </font>
    <font>
      <sz val="10.5"/>
      <name val="宋体"/>
      <family val="3"/>
      <charset val="134"/>
    </font>
    <font>
      <b/>
      <sz val="22"/>
      <name val="黑体"/>
      <family val="3"/>
      <charset val="134"/>
    </font>
    <font>
      <sz val="12"/>
      <name val="黑体"/>
      <family val="3"/>
      <charset val="134"/>
    </font>
    <font>
      <sz val="11"/>
      <color indexed="17"/>
      <name val="宋体"/>
      <family val="3"/>
      <charset val="134"/>
    </font>
    <font>
      <sz val="12"/>
      <name val="????"/>
      <family val="1"/>
    </font>
    <font>
      <sz val="11"/>
      <color indexed="20"/>
      <name val="宋体"/>
      <family val="3"/>
      <charset val="134"/>
    </font>
    <font>
      <u/>
      <sz val="9"/>
      <color indexed="12"/>
      <name val="宋体"/>
      <family val="3"/>
      <charset val="134"/>
    </font>
    <font>
      <b/>
      <sz val="10.5"/>
      <name val="Times New Roman"/>
      <family val="1"/>
    </font>
    <font>
      <sz val="26"/>
      <name val="Times New Roman"/>
      <family val="1"/>
    </font>
    <font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  <font>
      <b/>
      <sz val="9"/>
      <color indexed="81"/>
      <name val="Tahoma"/>
      <family val="2"/>
    </font>
    <font>
      <b/>
      <sz val="10"/>
      <color theme="4"/>
      <name val="宋体"/>
      <family val="3"/>
      <charset val="134"/>
    </font>
    <font>
      <sz val="9"/>
      <color indexed="81"/>
      <name val="Tahoma"/>
      <family val="2"/>
    </font>
    <font>
      <b/>
      <sz val="10"/>
      <color rgb="FF00B05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4">
    <xf numFmtId="0" fontId="0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7" fillId="0" borderId="0" applyNumberFormat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 applyBorder="0">
      <alignment vertical="center"/>
    </xf>
    <xf numFmtId="0" fontId="8" fillId="0" borderId="0" applyBorder="0">
      <alignment vertical="center"/>
    </xf>
    <xf numFmtId="0" fontId="8" fillId="0" borderId="0" applyBorder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8" fillId="0" borderId="0" applyBorder="0">
      <alignment vertical="center"/>
    </xf>
    <xf numFmtId="0" fontId="13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 applyBorder="0">
      <alignment vertical="center"/>
    </xf>
    <xf numFmtId="0" fontId="8" fillId="0" borderId="0" applyBorder="0">
      <alignment vertical="center"/>
    </xf>
    <xf numFmtId="0" fontId="16" fillId="0" borderId="0" applyNumberFormat="0" applyBorder="0" applyAlignment="0" applyProtection="0">
      <alignment vertical="top"/>
      <protection locked="0"/>
    </xf>
    <xf numFmtId="0" fontId="14" fillId="0" borderId="0">
      <alignment vertical="center"/>
    </xf>
  </cellStyleXfs>
  <cellXfs count="76"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0" borderId="2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0" fontId="2" fillId="0" borderId="1" xfId="0" applyNumberFormat="1" applyFont="1" applyFill="1" applyBorder="1">
      <alignment vertical="center"/>
    </xf>
    <xf numFmtId="10" fontId="3" fillId="0" borderId="1" xfId="0" applyNumberFormat="1" applyFont="1" applyFill="1" applyBorder="1">
      <alignment vertical="center"/>
    </xf>
    <xf numFmtId="0" fontId="7" fillId="0" borderId="1" xfId="3" applyFill="1" applyBorder="1" applyAlignment="1" applyProtection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8" fillId="0" borderId="0" xfId="18" applyFill="1">
      <alignment vertical="center"/>
    </xf>
    <xf numFmtId="0" fontId="9" fillId="5" borderId="7" xfId="18" applyFont="1" applyFill="1" applyBorder="1" applyAlignment="1">
      <alignment horizontal="center" vertical="center"/>
    </xf>
    <xf numFmtId="0" fontId="9" fillId="5" borderId="8" xfId="18" applyFont="1" applyFill="1" applyBorder="1" applyAlignment="1">
      <alignment horizontal="center" vertical="center"/>
    </xf>
    <xf numFmtId="0" fontId="10" fillId="0" borderId="11" xfId="18" applyFont="1" applyFill="1" applyBorder="1" applyAlignment="1">
      <alignment horizontal="center" vertical="center"/>
    </xf>
    <xf numFmtId="0" fontId="9" fillId="0" borderId="0" xfId="18" applyFont="1" applyFill="1" applyAlignment="1">
      <alignment horizontal="center" vertical="center"/>
    </xf>
    <xf numFmtId="0" fontId="8" fillId="0" borderId="0" xfId="18" applyFill="1" applyAlignment="1">
      <alignment horizontal="center" vertical="center"/>
    </xf>
    <xf numFmtId="0" fontId="9" fillId="0" borderId="0" xfId="18" applyFont="1" applyFill="1">
      <alignment vertical="center"/>
    </xf>
    <xf numFmtId="0" fontId="8" fillId="0" borderId="0" xfId="18" applyFill="1" applyBorder="1">
      <alignment vertical="center"/>
    </xf>
    <xf numFmtId="0" fontId="10" fillId="0" borderId="8" xfId="18" applyFont="1" applyFill="1" applyBorder="1" applyAlignment="1">
      <alignment horizontal="center" vertical="center"/>
    </xf>
    <xf numFmtId="0" fontId="10" fillId="0" borderId="9" xfId="18" applyFont="1" applyFill="1" applyBorder="1" applyAlignment="1">
      <alignment horizontal="center" vertical="center"/>
    </xf>
    <xf numFmtId="0" fontId="9" fillId="5" borderId="10" xfId="18" applyFont="1" applyFill="1" applyBorder="1" applyAlignment="1">
      <alignment horizontal="center" vertical="center"/>
    </xf>
    <xf numFmtId="0" fontId="9" fillId="5" borderId="11" xfId="18" applyFont="1" applyFill="1" applyBorder="1" applyAlignment="1">
      <alignment horizontal="center" vertical="center"/>
    </xf>
    <xf numFmtId="14" fontId="10" fillId="0" borderId="12" xfId="18" applyNumberFormat="1" applyFont="1" applyFill="1" applyBorder="1" applyAlignment="1">
      <alignment horizontal="center" vertical="center"/>
    </xf>
    <xf numFmtId="0" fontId="8" fillId="0" borderId="0" xfId="18" applyFill="1" applyBorder="1" applyAlignment="1">
      <alignment horizontal="center" vertical="center"/>
    </xf>
    <xf numFmtId="0" fontId="7" fillId="0" borderId="0" xfId="3" applyAlignment="1" applyProtection="1">
      <alignment vertical="center"/>
    </xf>
    <xf numFmtId="0" fontId="2" fillId="9" borderId="1" xfId="0" applyFont="1" applyFill="1" applyBorder="1">
      <alignment vertical="center"/>
    </xf>
    <xf numFmtId="0" fontId="7" fillId="9" borderId="1" xfId="3" applyFill="1" applyBorder="1" applyAlignment="1" applyProtection="1">
      <alignment vertical="center"/>
    </xf>
    <xf numFmtId="0" fontId="2" fillId="9" borderId="1" xfId="0" applyFont="1" applyFill="1" applyBorder="1" applyAlignment="1">
      <alignment horizontal="center" vertical="center"/>
    </xf>
    <xf numFmtId="9" fontId="2" fillId="9" borderId="1" xfId="0" applyNumberFormat="1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176" fontId="25" fillId="11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176" fontId="25" fillId="9" borderId="1" xfId="0" applyNumberFormat="1" applyFont="1" applyFill="1" applyBorder="1" applyAlignment="1">
      <alignment horizontal="center" vertical="center"/>
    </xf>
    <xf numFmtId="0" fontId="11" fillId="0" borderId="0" xfId="18" applyFont="1" applyFill="1" applyAlignment="1">
      <alignment horizontal="center" vertical="center"/>
    </xf>
    <xf numFmtId="0" fontId="12" fillId="0" borderId="0" xfId="18" applyFont="1" applyFill="1" applyAlignment="1">
      <alignment horizontal="center" vertical="center"/>
    </xf>
    <xf numFmtId="0" fontId="8" fillId="0" borderId="0" xfId="18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</cellXfs>
  <cellStyles count="34">
    <cellStyle name="??" xfId="13" xr:uid="{00000000-0005-0000-0000-000000000000}"/>
    <cellStyle name="3232" xfId="14" xr:uid="{00000000-0005-0000-0000-000001000000}"/>
    <cellStyle name="3232 2" xfId="8" xr:uid="{00000000-0005-0000-0000-000002000000}"/>
    <cellStyle name="3232 3" xfId="9" xr:uid="{00000000-0005-0000-0000-000003000000}"/>
    <cellStyle name="3232_非基础应用系统交易线" xfId="7" xr:uid="{00000000-0005-0000-0000-000004000000}"/>
    <cellStyle name="差_系统信息" xfId="16" xr:uid="{00000000-0005-0000-0000-000008000000}"/>
    <cellStyle name="常规" xfId="0" builtinId="0"/>
    <cellStyle name="常规 10" xfId="11" xr:uid="{00000000-0005-0000-0000-000009000000}"/>
    <cellStyle name="常规 2" xfId="17" xr:uid="{00000000-0005-0000-0000-00000A000000}"/>
    <cellStyle name="常规 2 10" xfId="12" xr:uid="{00000000-0005-0000-0000-00000B000000}"/>
    <cellStyle name="常规 2 11" xfId="2" xr:uid="{00000000-0005-0000-0000-00000C000000}"/>
    <cellStyle name="常规 2 12" xfId="18" xr:uid="{00000000-0005-0000-0000-00000D000000}"/>
    <cellStyle name="常规 2 2" xfId="19" xr:uid="{00000000-0005-0000-0000-00000E000000}"/>
    <cellStyle name="常规 2 2 2" xfId="20" xr:uid="{00000000-0005-0000-0000-00000F000000}"/>
    <cellStyle name="常规 2 3" xfId="10" xr:uid="{00000000-0005-0000-0000-000010000000}"/>
    <cellStyle name="常规 2 3 3" xfId="1" xr:uid="{00000000-0005-0000-0000-000011000000}"/>
    <cellStyle name="常规 2 4" xfId="21" xr:uid="{00000000-0005-0000-0000-000012000000}"/>
    <cellStyle name="常规 2 5" xfId="22" xr:uid="{00000000-0005-0000-0000-000013000000}"/>
    <cellStyle name="常规 2 6" xfId="23" xr:uid="{00000000-0005-0000-0000-000014000000}"/>
    <cellStyle name="常规 2 7" xfId="24" xr:uid="{00000000-0005-0000-0000-000015000000}"/>
    <cellStyle name="常规 2 8" xfId="25" xr:uid="{00000000-0005-0000-0000-000016000000}"/>
    <cellStyle name="常规 2 9" xfId="26" xr:uid="{00000000-0005-0000-0000-000017000000}"/>
    <cellStyle name="常规 3" xfId="27" xr:uid="{00000000-0005-0000-0000-000018000000}"/>
    <cellStyle name="常规 4" xfId="28" xr:uid="{00000000-0005-0000-0000-000019000000}"/>
    <cellStyle name="常规 5" xfId="29" xr:uid="{00000000-0005-0000-0000-00001A000000}"/>
    <cellStyle name="常规 5 2" xfId="5" xr:uid="{00000000-0005-0000-0000-00001B000000}"/>
    <cellStyle name="常规 6" xfId="4" xr:uid="{00000000-0005-0000-0000-00001C000000}"/>
    <cellStyle name="常规 7" xfId="30" xr:uid="{00000000-0005-0000-0000-00001D000000}"/>
    <cellStyle name="常规 8" xfId="31" xr:uid="{00000000-0005-0000-0000-00001E000000}"/>
    <cellStyle name="常规 9" xfId="6" xr:uid="{00000000-0005-0000-0000-00001F000000}"/>
    <cellStyle name="超链接" xfId="3" builtinId="8"/>
    <cellStyle name="超链接 2" xfId="32" xr:uid="{00000000-0005-0000-0000-000021000000}"/>
    <cellStyle name="好_系统信息" xfId="15" xr:uid="{00000000-0005-0000-0000-000007000000}"/>
    <cellStyle name="样式 1" xfId="33" xr:uid="{00000000-0005-0000-0000-000020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6</xdr:col>
      <xdr:colOff>609600</xdr:colOff>
      <xdr:row>16</xdr:row>
      <xdr:rowOff>123825</xdr:rowOff>
    </xdr:to>
    <xdr:pic>
      <xdr:nvPicPr>
        <xdr:cNvPr id="2" name="图片 1" descr="D:\eSpace_DeskTop\UserData\w03410\imagefiles\20150525094757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0" y="9525"/>
          <a:ext cx="4724400" cy="28575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7</xdr:col>
      <xdr:colOff>247650</xdr:colOff>
      <xdr:row>31</xdr:row>
      <xdr:rowOff>114300</xdr:rowOff>
    </xdr:to>
    <xdr:pic>
      <xdr:nvPicPr>
        <xdr:cNvPr id="7169" name="图片 1" descr="D:\eSpace_DeskTop\UserData\w03410\imagefiles\20150525094757.jpg">
          <a:extLst>
            <a:ext uri="{FF2B5EF4-FFF2-40B4-BE49-F238E27FC236}">
              <a16:creationId xmlns:a16="http://schemas.microsoft.com/office/drawing/2014/main" id="{00000000-0008-0000-0500-0000011C0000}"/>
            </a:ext>
          </a:extLst>
        </xdr:cNvPr>
        <xdr:cNvPicPr/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0" y="6686550"/>
          <a:ext cx="4724400" cy="28575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7</xdr:col>
      <xdr:colOff>19050</xdr:colOff>
      <xdr:row>14</xdr:row>
      <xdr:rowOff>142875</xdr:rowOff>
    </xdr:from>
    <xdr:to>
      <xdr:col>13</xdr:col>
      <xdr:colOff>428625</xdr:colOff>
      <xdr:row>31</xdr:row>
      <xdr:rowOff>123825</xdr:rowOff>
    </xdr:to>
    <xdr:pic>
      <xdr:nvPicPr>
        <xdr:cNvPr id="7170" name="图片 2" descr="D:\eSpace_DeskTop\UserData\w03410\imagefiles\20150525094820.jpg">
          <a:extLst>
            <a:ext uri="{FF2B5EF4-FFF2-40B4-BE49-F238E27FC236}">
              <a16:creationId xmlns:a16="http://schemas.microsoft.com/office/drawing/2014/main" id="{00000000-0008-0000-0500-0000021C0000}"/>
            </a:ext>
          </a:extLst>
        </xdr:cNvPr>
        <xdr:cNvPicPr/>
      </xdr:nvPicPr>
      <xdr:blipFill>
        <a:blip xmlns:r="http://schemas.openxmlformats.org/officeDocument/2006/relationships" r:embed="rId2">
          <a:lum/>
        </a:blip>
        <a:stretch>
          <a:fillRect/>
        </a:stretch>
      </xdr:blipFill>
      <xdr:spPr>
        <a:xfrm>
          <a:off x="5695950" y="6657975"/>
          <a:ext cx="4972050" cy="289560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13</xdr:col>
      <xdr:colOff>676275</xdr:colOff>
      <xdr:row>14</xdr:row>
      <xdr:rowOff>95250</xdr:rowOff>
    </xdr:from>
    <xdr:to>
      <xdr:col>20</xdr:col>
      <xdr:colOff>514350</xdr:colOff>
      <xdr:row>30</xdr:row>
      <xdr:rowOff>161925</xdr:rowOff>
    </xdr:to>
    <xdr:pic>
      <xdr:nvPicPr>
        <xdr:cNvPr id="7171" name="Picture 1">
          <a:extLst>
            <a:ext uri="{FF2B5EF4-FFF2-40B4-BE49-F238E27FC236}">
              <a16:creationId xmlns:a16="http://schemas.microsoft.com/office/drawing/2014/main" id="{00000000-0008-0000-0500-000003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lum/>
        </a:blip>
        <a:stretch>
          <a:fillRect/>
        </a:stretch>
      </xdr:blipFill>
      <xdr:spPr>
        <a:xfrm>
          <a:off x="10915650" y="6610350"/>
          <a:ext cx="4638675" cy="28098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1496;&#24037;&#20316;/&#20154;&#23551;&#33539;&#20363;/10%20&#36719;&#20214;&#24037;&#31243;/30%20&#27169;&#26495;/1_&#26085;&#24120;&#24037;&#20316;/B_CMMI&#35780;&#20272;/3_&#36807;&#31243;&#23450;&#20041;/&#25104;&#26524;/&#36807;&#31243;&#25903;&#25345;/30_&#27169;&#29256;/&#36807;&#31243;&#23450;&#20041;&#19982;&#36807;&#31243;&#25913;&#3682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过程体系发布说明"/>
      <sheetName val="选项列表"/>
      <sheetName val="过程改进建议一览表"/>
      <sheetName val="过程改进年度计划"/>
      <sheetName val="过程改进实施计划"/>
      <sheetName val="OPF、OPD检查单"/>
      <sheetName val="Sheet1 (2)"/>
      <sheetName val="过程资产库管理规范"/>
      <sheetName val="过程资资产库管理规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7"/>
  <sheetViews>
    <sheetView showGridLines="0" topLeftCell="A13" workbookViewId="0">
      <selection activeCell="D6" sqref="D6"/>
    </sheetView>
  </sheetViews>
  <sheetFormatPr defaultColWidth="9" defaultRowHeight="15"/>
  <cols>
    <col min="1" max="1" width="15.6328125" style="20" customWidth="1"/>
    <col min="2" max="2" width="24.453125" style="20" customWidth="1"/>
    <col min="3" max="3" width="15.6328125" style="20" customWidth="1"/>
    <col min="4" max="4" width="24.453125" style="20" customWidth="1"/>
    <col min="5" max="256" width="9" style="20"/>
    <col min="257" max="257" width="15.6328125" style="20" customWidth="1"/>
    <col min="258" max="258" width="24.453125" style="20" customWidth="1"/>
    <col min="259" max="259" width="15.6328125" style="20" customWidth="1"/>
    <col min="260" max="260" width="24.453125" style="20" customWidth="1"/>
    <col min="261" max="512" width="9" style="20"/>
    <col min="513" max="513" width="15.6328125" style="20" customWidth="1"/>
    <col min="514" max="514" width="24.453125" style="20" customWidth="1"/>
    <col min="515" max="515" width="15.6328125" style="20" customWidth="1"/>
    <col min="516" max="516" width="24.453125" style="20" customWidth="1"/>
    <col min="517" max="768" width="9" style="20"/>
    <col min="769" max="769" width="15.6328125" style="20" customWidth="1"/>
    <col min="770" max="770" width="24.453125" style="20" customWidth="1"/>
    <col min="771" max="771" width="15.6328125" style="20" customWidth="1"/>
    <col min="772" max="772" width="24.453125" style="20" customWidth="1"/>
    <col min="773" max="1024" width="9" style="20"/>
    <col min="1025" max="1025" width="15.6328125" style="20" customWidth="1"/>
    <col min="1026" max="1026" width="24.453125" style="20" customWidth="1"/>
    <col min="1027" max="1027" width="15.6328125" style="20" customWidth="1"/>
    <col min="1028" max="1028" width="24.453125" style="20" customWidth="1"/>
    <col min="1029" max="1280" width="9" style="20"/>
    <col min="1281" max="1281" width="15.6328125" style="20" customWidth="1"/>
    <col min="1282" max="1282" width="24.453125" style="20" customWidth="1"/>
    <col min="1283" max="1283" width="15.6328125" style="20" customWidth="1"/>
    <col min="1284" max="1284" width="24.453125" style="20" customWidth="1"/>
    <col min="1285" max="1536" width="9" style="20"/>
    <col min="1537" max="1537" width="15.6328125" style="20" customWidth="1"/>
    <col min="1538" max="1538" width="24.453125" style="20" customWidth="1"/>
    <col min="1539" max="1539" width="15.6328125" style="20" customWidth="1"/>
    <col min="1540" max="1540" width="24.453125" style="20" customWidth="1"/>
    <col min="1541" max="1792" width="9" style="20"/>
    <col min="1793" max="1793" width="15.6328125" style="20" customWidth="1"/>
    <col min="1794" max="1794" width="24.453125" style="20" customWidth="1"/>
    <col min="1795" max="1795" width="15.6328125" style="20" customWidth="1"/>
    <col min="1796" max="1796" width="24.453125" style="20" customWidth="1"/>
    <col min="1797" max="2048" width="9" style="20"/>
    <col min="2049" max="2049" width="15.6328125" style="20" customWidth="1"/>
    <col min="2050" max="2050" width="24.453125" style="20" customWidth="1"/>
    <col min="2051" max="2051" width="15.6328125" style="20" customWidth="1"/>
    <col min="2052" max="2052" width="24.453125" style="20" customWidth="1"/>
    <col min="2053" max="2304" width="9" style="20"/>
    <col min="2305" max="2305" width="15.6328125" style="20" customWidth="1"/>
    <col min="2306" max="2306" width="24.453125" style="20" customWidth="1"/>
    <col min="2307" max="2307" width="15.6328125" style="20" customWidth="1"/>
    <col min="2308" max="2308" width="24.453125" style="20" customWidth="1"/>
    <col min="2309" max="2560" width="9" style="20"/>
    <col min="2561" max="2561" width="15.6328125" style="20" customWidth="1"/>
    <col min="2562" max="2562" width="24.453125" style="20" customWidth="1"/>
    <col min="2563" max="2563" width="15.6328125" style="20" customWidth="1"/>
    <col min="2564" max="2564" width="24.453125" style="20" customWidth="1"/>
    <col min="2565" max="2816" width="9" style="20"/>
    <col min="2817" max="2817" width="15.6328125" style="20" customWidth="1"/>
    <col min="2818" max="2818" width="24.453125" style="20" customWidth="1"/>
    <col min="2819" max="2819" width="15.6328125" style="20" customWidth="1"/>
    <col min="2820" max="2820" width="24.453125" style="20" customWidth="1"/>
    <col min="2821" max="3072" width="9" style="20"/>
    <col min="3073" max="3073" width="15.6328125" style="20" customWidth="1"/>
    <col min="3074" max="3074" width="24.453125" style="20" customWidth="1"/>
    <col min="3075" max="3075" width="15.6328125" style="20" customWidth="1"/>
    <col min="3076" max="3076" width="24.453125" style="20" customWidth="1"/>
    <col min="3077" max="3328" width="9" style="20"/>
    <col min="3329" max="3329" width="15.6328125" style="20" customWidth="1"/>
    <col min="3330" max="3330" width="24.453125" style="20" customWidth="1"/>
    <col min="3331" max="3331" width="15.6328125" style="20" customWidth="1"/>
    <col min="3332" max="3332" width="24.453125" style="20" customWidth="1"/>
    <col min="3333" max="3584" width="9" style="20"/>
    <col min="3585" max="3585" width="15.6328125" style="20" customWidth="1"/>
    <col min="3586" max="3586" width="24.453125" style="20" customWidth="1"/>
    <col min="3587" max="3587" width="15.6328125" style="20" customWidth="1"/>
    <col min="3588" max="3588" width="24.453125" style="20" customWidth="1"/>
    <col min="3589" max="3840" width="9" style="20"/>
    <col min="3841" max="3841" width="15.6328125" style="20" customWidth="1"/>
    <col min="3842" max="3842" width="24.453125" style="20" customWidth="1"/>
    <col min="3843" max="3843" width="15.6328125" style="20" customWidth="1"/>
    <col min="3844" max="3844" width="24.453125" style="20" customWidth="1"/>
    <col min="3845" max="4096" width="9" style="20"/>
    <col min="4097" max="4097" width="15.6328125" style="20" customWidth="1"/>
    <col min="4098" max="4098" width="24.453125" style="20" customWidth="1"/>
    <col min="4099" max="4099" width="15.6328125" style="20" customWidth="1"/>
    <col min="4100" max="4100" width="24.453125" style="20" customWidth="1"/>
    <col min="4101" max="4352" width="9" style="20"/>
    <col min="4353" max="4353" width="15.6328125" style="20" customWidth="1"/>
    <col min="4354" max="4354" width="24.453125" style="20" customWidth="1"/>
    <col min="4355" max="4355" width="15.6328125" style="20" customWidth="1"/>
    <col min="4356" max="4356" width="24.453125" style="20" customWidth="1"/>
    <col min="4357" max="4608" width="9" style="20"/>
    <col min="4609" max="4609" width="15.6328125" style="20" customWidth="1"/>
    <col min="4610" max="4610" width="24.453125" style="20" customWidth="1"/>
    <col min="4611" max="4611" width="15.6328125" style="20" customWidth="1"/>
    <col min="4612" max="4612" width="24.453125" style="20" customWidth="1"/>
    <col min="4613" max="4864" width="9" style="20"/>
    <col min="4865" max="4865" width="15.6328125" style="20" customWidth="1"/>
    <col min="4866" max="4866" width="24.453125" style="20" customWidth="1"/>
    <col min="4867" max="4867" width="15.6328125" style="20" customWidth="1"/>
    <col min="4868" max="4868" width="24.453125" style="20" customWidth="1"/>
    <col min="4869" max="5120" width="9" style="20"/>
    <col min="5121" max="5121" width="15.6328125" style="20" customWidth="1"/>
    <col min="5122" max="5122" width="24.453125" style="20" customWidth="1"/>
    <col min="5123" max="5123" width="15.6328125" style="20" customWidth="1"/>
    <col min="5124" max="5124" width="24.453125" style="20" customWidth="1"/>
    <col min="5125" max="5376" width="9" style="20"/>
    <col min="5377" max="5377" width="15.6328125" style="20" customWidth="1"/>
    <col min="5378" max="5378" width="24.453125" style="20" customWidth="1"/>
    <col min="5379" max="5379" width="15.6328125" style="20" customWidth="1"/>
    <col min="5380" max="5380" width="24.453125" style="20" customWidth="1"/>
    <col min="5381" max="5632" width="9" style="20"/>
    <col min="5633" max="5633" width="15.6328125" style="20" customWidth="1"/>
    <col min="5634" max="5634" width="24.453125" style="20" customWidth="1"/>
    <col min="5635" max="5635" width="15.6328125" style="20" customWidth="1"/>
    <col min="5636" max="5636" width="24.453125" style="20" customWidth="1"/>
    <col min="5637" max="5888" width="9" style="20"/>
    <col min="5889" max="5889" width="15.6328125" style="20" customWidth="1"/>
    <col min="5890" max="5890" width="24.453125" style="20" customWidth="1"/>
    <col min="5891" max="5891" width="15.6328125" style="20" customWidth="1"/>
    <col min="5892" max="5892" width="24.453125" style="20" customWidth="1"/>
    <col min="5893" max="6144" width="9" style="20"/>
    <col min="6145" max="6145" width="15.6328125" style="20" customWidth="1"/>
    <col min="6146" max="6146" width="24.453125" style="20" customWidth="1"/>
    <col min="6147" max="6147" width="15.6328125" style="20" customWidth="1"/>
    <col min="6148" max="6148" width="24.453125" style="20" customWidth="1"/>
    <col min="6149" max="6400" width="9" style="20"/>
    <col min="6401" max="6401" width="15.6328125" style="20" customWidth="1"/>
    <col min="6402" max="6402" width="24.453125" style="20" customWidth="1"/>
    <col min="6403" max="6403" width="15.6328125" style="20" customWidth="1"/>
    <col min="6404" max="6404" width="24.453125" style="20" customWidth="1"/>
    <col min="6405" max="6656" width="9" style="20"/>
    <col min="6657" max="6657" width="15.6328125" style="20" customWidth="1"/>
    <col min="6658" max="6658" width="24.453125" style="20" customWidth="1"/>
    <col min="6659" max="6659" width="15.6328125" style="20" customWidth="1"/>
    <col min="6660" max="6660" width="24.453125" style="20" customWidth="1"/>
    <col min="6661" max="6912" width="9" style="20"/>
    <col min="6913" max="6913" width="15.6328125" style="20" customWidth="1"/>
    <col min="6914" max="6914" width="24.453125" style="20" customWidth="1"/>
    <col min="6915" max="6915" width="15.6328125" style="20" customWidth="1"/>
    <col min="6916" max="6916" width="24.453125" style="20" customWidth="1"/>
    <col min="6917" max="7168" width="9" style="20"/>
    <col min="7169" max="7169" width="15.6328125" style="20" customWidth="1"/>
    <col min="7170" max="7170" width="24.453125" style="20" customWidth="1"/>
    <col min="7171" max="7171" width="15.6328125" style="20" customWidth="1"/>
    <col min="7172" max="7172" width="24.453125" style="20" customWidth="1"/>
    <col min="7173" max="7424" width="9" style="20"/>
    <col min="7425" max="7425" width="15.6328125" style="20" customWidth="1"/>
    <col min="7426" max="7426" width="24.453125" style="20" customWidth="1"/>
    <col min="7427" max="7427" width="15.6328125" style="20" customWidth="1"/>
    <col min="7428" max="7428" width="24.453125" style="20" customWidth="1"/>
    <col min="7429" max="7680" width="9" style="20"/>
    <col min="7681" max="7681" width="15.6328125" style="20" customWidth="1"/>
    <col min="7682" max="7682" width="24.453125" style="20" customWidth="1"/>
    <col min="7683" max="7683" width="15.6328125" style="20" customWidth="1"/>
    <col min="7684" max="7684" width="24.453125" style="20" customWidth="1"/>
    <col min="7685" max="7936" width="9" style="20"/>
    <col min="7937" max="7937" width="15.6328125" style="20" customWidth="1"/>
    <col min="7938" max="7938" width="24.453125" style="20" customWidth="1"/>
    <col min="7939" max="7939" width="15.6328125" style="20" customWidth="1"/>
    <col min="7940" max="7940" width="24.453125" style="20" customWidth="1"/>
    <col min="7941" max="8192" width="9" style="20"/>
    <col min="8193" max="8193" width="15.6328125" style="20" customWidth="1"/>
    <col min="8194" max="8194" width="24.453125" style="20" customWidth="1"/>
    <col min="8195" max="8195" width="15.6328125" style="20" customWidth="1"/>
    <col min="8196" max="8196" width="24.453125" style="20" customWidth="1"/>
    <col min="8197" max="8448" width="9" style="20"/>
    <col min="8449" max="8449" width="15.6328125" style="20" customWidth="1"/>
    <col min="8450" max="8450" width="24.453125" style="20" customWidth="1"/>
    <col min="8451" max="8451" width="15.6328125" style="20" customWidth="1"/>
    <col min="8452" max="8452" width="24.453125" style="20" customWidth="1"/>
    <col min="8453" max="8704" width="9" style="20"/>
    <col min="8705" max="8705" width="15.6328125" style="20" customWidth="1"/>
    <col min="8706" max="8706" width="24.453125" style="20" customWidth="1"/>
    <col min="8707" max="8707" width="15.6328125" style="20" customWidth="1"/>
    <col min="8708" max="8708" width="24.453125" style="20" customWidth="1"/>
    <col min="8709" max="8960" width="9" style="20"/>
    <col min="8961" max="8961" width="15.6328125" style="20" customWidth="1"/>
    <col min="8962" max="8962" width="24.453125" style="20" customWidth="1"/>
    <col min="8963" max="8963" width="15.6328125" style="20" customWidth="1"/>
    <col min="8964" max="8964" width="24.453125" style="20" customWidth="1"/>
    <col min="8965" max="9216" width="9" style="20"/>
    <col min="9217" max="9217" width="15.6328125" style="20" customWidth="1"/>
    <col min="9218" max="9218" width="24.453125" style="20" customWidth="1"/>
    <col min="9219" max="9219" width="15.6328125" style="20" customWidth="1"/>
    <col min="9220" max="9220" width="24.453125" style="20" customWidth="1"/>
    <col min="9221" max="9472" width="9" style="20"/>
    <col min="9473" max="9473" width="15.6328125" style="20" customWidth="1"/>
    <col min="9474" max="9474" width="24.453125" style="20" customWidth="1"/>
    <col min="9475" max="9475" width="15.6328125" style="20" customWidth="1"/>
    <col min="9476" max="9476" width="24.453125" style="20" customWidth="1"/>
    <col min="9477" max="9728" width="9" style="20"/>
    <col min="9729" max="9729" width="15.6328125" style="20" customWidth="1"/>
    <col min="9730" max="9730" width="24.453125" style="20" customWidth="1"/>
    <col min="9731" max="9731" width="15.6328125" style="20" customWidth="1"/>
    <col min="9732" max="9732" width="24.453125" style="20" customWidth="1"/>
    <col min="9733" max="9984" width="9" style="20"/>
    <col min="9985" max="9985" width="15.6328125" style="20" customWidth="1"/>
    <col min="9986" max="9986" width="24.453125" style="20" customWidth="1"/>
    <col min="9987" max="9987" width="15.6328125" style="20" customWidth="1"/>
    <col min="9988" max="9988" width="24.453125" style="20" customWidth="1"/>
    <col min="9989" max="10240" width="9" style="20"/>
    <col min="10241" max="10241" width="15.6328125" style="20" customWidth="1"/>
    <col min="10242" max="10242" width="24.453125" style="20" customWidth="1"/>
    <col min="10243" max="10243" width="15.6328125" style="20" customWidth="1"/>
    <col min="10244" max="10244" width="24.453125" style="20" customWidth="1"/>
    <col min="10245" max="10496" width="9" style="20"/>
    <col min="10497" max="10497" width="15.6328125" style="20" customWidth="1"/>
    <col min="10498" max="10498" width="24.453125" style="20" customWidth="1"/>
    <col min="10499" max="10499" width="15.6328125" style="20" customWidth="1"/>
    <col min="10500" max="10500" width="24.453125" style="20" customWidth="1"/>
    <col min="10501" max="10752" width="9" style="20"/>
    <col min="10753" max="10753" width="15.6328125" style="20" customWidth="1"/>
    <col min="10754" max="10754" width="24.453125" style="20" customWidth="1"/>
    <col min="10755" max="10755" width="15.6328125" style="20" customWidth="1"/>
    <col min="10756" max="10756" width="24.453125" style="20" customWidth="1"/>
    <col min="10757" max="11008" width="9" style="20"/>
    <col min="11009" max="11009" width="15.6328125" style="20" customWidth="1"/>
    <col min="11010" max="11010" width="24.453125" style="20" customWidth="1"/>
    <col min="11011" max="11011" width="15.6328125" style="20" customWidth="1"/>
    <col min="11012" max="11012" width="24.453125" style="20" customWidth="1"/>
    <col min="11013" max="11264" width="9" style="20"/>
    <col min="11265" max="11265" width="15.6328125" style="20" customWidth="1"/>
    <col min="11266" max="11266" width="24.453125" style="20" customWidth="1"/>
    <col min="11267" max="11267" width="15.6328125" style="20" customWidth="1"/>
    <col min="11268" max="11268" width="24.453125" style="20" customWidth="1"/>
    <col min="11269" max="11520" width="9" style="20"/>
    <col min="11521" max="11521" width="15.6328125" style="20" customWidth="1"/>
    <col min="11522" max="11522" width="24.453125" style="20" customWidth="1"/>
    <col min="11523" max="11523" width="15.6328125" style="20" customWidth="1"/>
    <col min="11524" max="11524" width="24.453125" style="20" customWidth="1"/>
    <col min="11525" max="11776" width="9" style="20"/>
    <col min="11777" max="11777" width="15.6328125" style="20" customWidth="1"/>
    <col min="11778" max="11778" width="24.453125" style="20" customWidth="1"/>
    <col min="11779" max="11779" width="15.6328125" style="20" customWidth="1"/>
    <col min="11780" max="11780" width="24.453125" style="20" customWidth="1"/>
    <col min="11781" max="12032" width="9" style="20"/>
    <col min="12033" max="12033" width="15.6328125" style="20" customWidth="1"/>
    <col min="12034" max="12034" width="24.453125" style="20" customWidth="1"/>
    <col min="12035" max="12035" width="15.6328125" style="20" customWidth="1"/>
    <col min="12036" max="12036" width="24.453125" style="20" customWidth="1"/>
    <col min="12037" max="12288" width="9" style="20"/>
    <col min="12289" max="12289" width="15.6328125" style="20" customWidth="1"/>
    <col min="12290" max="12290" width="24.453125" style="20" customWidth="1"/>
    <col min="12291" max="12291" width="15.6328125" style="20" customWidth="1"/>
    <col min="12292" max="12292" width="24.453125" style="20" customWidth="1"/>
    <col min="12293" max="12544" width="9" style="20"/>
    <col min="12545" max="12545" width="15.6328125" style="20" customWidth="1"/>
    <col min="12546" max="12546" width="24.453125" style="20" customWidth="1"/>
    <col min="12547" max="12547" width="15.6328125" style="20" customWidth="1"/>
    <col min="12548" max="12548" width="24.453125" style="20" customWidth="1"/>
    <col min="12549" max="12800" width="9" style="20"/>
    <col min="12801" max="12801" width="15.6328125" style="20" customWidth="1"/>
    <col min="12802" max="12802" width="24.453125" style="20" customWidth="1"/>
    <col min="12803" max="12803" width="15.6328125" style="20" customWidth="1"/>
    <col min="12804" max="12804" width="24.453125" style="20" customWidth="1"/>
    <col min="12805" max="13056" width="9" style="20"/>
    <col min="13057" max="13057" width="15.6328125" style="20" customWidth="1"/>
    <col min="13058" max="13058" width="24.453125" style="20" customWidth="1"/>
    <col min="13059" max="13059" width="15.6328125" style="20" customWidth="1"/>
    <col min="13060" max="13060" width="24.453125" style="20" customWidth="1"/>
    <col min="13061" max="13312" width="9" style="20"/>
    <col min="13313" max="13313" width="15.6328125" style="20" customWidth="1"/>
    <col min="13314" max="13314" width="24.453125" style="20" customWidth="1"/>
    <col min="13315" max="13315" width="15.6328125" style="20" customWidth="1"/>
    <col min="13316" max="13316" width="24.453125" style="20" customWidth="1"/>
    <col min="13317" max="13568" width="9" style="20"/>
    <col min="13569" max="13569" width="15.6328125" style="20" customWidth="1"/>
    <col min="13570" max="13570" width="24.453125" style="20" customWidth="1"/>
    <col min="13571" max="13571" width="15.6328125" style="20" customWidth="1"/>
    <col min="13572" max="13572" width="24.453125" style="20" customWidth="1"/>
    <col min="13573" max="13824" width="9" style="20"/>
    <col min="13825" max="13825" width="15.6328125" style="20" customWidth="1"/>
    <col min="13826" max="13826" width="24.453125" style="20" customWidth="1"/>
    <col min="13827" max="13827" width="15.6328125" style="20" customWidth="1"/>
    <col min="13828" max="13828" width="24.453125" style="20" customWidth="1"/>
    <col min="13829" max="14080" width="9" style="20"/>
    <col min="14081" max="14081" width="15.6328125" style="20" customWidth="1"/>
    <col min="14082" max="14082" width="24.453125" style="20" customWidth="1"/>
    <col min="14083" max="14083" width="15.6328125" style="20" customWidth="1"/>
    <col min="14084" max="14084" width="24.453125" style="20" customWidth="1"/>
    <col min="14085" max="14336" width="9" style="20"/>
    <col min="14337" max="14337" width="15.6328125" style="20" customWidth="1"/>
    <col min="14338" max="14338" width="24.453125" style="20" customWidth="1"/>
    <col min="14339" max="14339" width="15.6328125" style="20" customWidth="1"/>
    <col min="14340" max="14340" width="24.453125" style="20" customWidth="1"/>
    <col min="14341" max="14592" width="9" style="20"/>
    <col min="14593" max="14593" width="15.6328125" style="20" customWidth="1"/>
    <col min="14594" max="14594" width="24.453125" style="20" customWidth="1"/>
    <col min="14595" max="14595" width="15.6328125" style="20" customWidth="1"/>
    <col min="14596" max="14596" width="24.453125" style="20" customWidth="1"/>
    <col min="14597" max="14848" width="9" style="20"/>
    <col min="14849" max="14849" width="15.6328125" style="20" customWidth="1"/>
    <col min="14850" max="14850" width="24.453125" style="20" customWidth="1"/>
    <col min="14851" max="14851" width="15.6328125" style="20" customWidth="1"/>
    <col min="14852" max="14852" width="24.453125" style="20" customWidth="1"/>
    <col min="14853" max="15104" width="9" style="20"/>
    <col min="15105" max="15105" width="15.6328125" style="20" customWidth="1"/>
    <col min="15106" max="15106" width="24.453125" style="20" customWidth="1"/>
    <col min="15107" max="15107" width="15.6328125" style="20" customWidth="1"/>
    <col min="15108" max="15108" width="24.453125" style="20" customWidth="1"/>
    <col min="15109" max="15360" width="9" style="20"/>
    <col min="15361" max="15361" width="15.6328125" style="20" customWidth="1"/>
    <col min="15362" max="15362" width="24.453125" style="20" customWidth="1"/>
    <col min="15363" max="15363" width="15.6328125" style="20" customWidth="1"/>
    <col min="15364" max="15364" width="24.453125" style="20" customWidth="1"/>
    <col min="15365" max="15616" width="9" style="20"/>
    <col min="15617" max="15617" width="15.6328125" style="20" customWidth="1"/>
    <col min="15618" max="15618" width="24.453125" style="20" customWidth="1"/>
    <col min="15619" max="15619" width="15.6328125" style="20" customWidth="1"/>
    <col min="15620" max="15620" width="24.453125" style="20" customWidth="1"/>
    <col min="15621" max="15872" width="9" style="20"/>
    <col min="15873" max="15873" width="15.6328125" style="20" customWidth="1"/>
    <col min="15874" max="15874" width="24.453125" style="20" customWidth="1"/>
    <col min="15875" max="15875" width="15.6328125" style="20" customWidth="1"/>
    <col min="15876" max="15876" width="24.453125" style="20" customWidth="1"/>
    <col min="15877" max="16128" width="9" style="20"/>
    <col min="16129" max="16129" width="15.6328125" style="20" customWidth="1"/>
    <col min="16130" max="16130" width="24.453125" style="20" customWidth="1"/>
    <col min="16131" max="16131" width="15.6328125" style="20" customWidth="1"/>
    <col min="16132" max="16132" width="24.453125" style="20" customWidth="1"/>
    <col min="16133" max="16384" width="9" style="20"/>
  </cols>
  <sheetData>
    <row r="4" spans="1:7" ht="33.75" customHeight="1">
      <c r="D4" s="24"/>
      <c r="E4" s="25"/>
      <c r="F4" s="26"/>
    </row>
    <row r="5" spans="1:7" ht="33">
      <c r="D5" s="26" t="s">
        <v>0</v>
      </c>
      <c r="E5" s="25"/>
      <c r="F5" s="26"/>
    </row>
    <row r="6" spans="1:7">
      <c r="E6" s="25"/>
      <c r="F6" s="25"/>
      <c r="G6" s="25"/>
    </row>
    <row r="9" spans="1:7">
      <c r="D9" s="24"/>
    </row>
    <row r="15" spans="1:7" ht="50.25" customHeight="1">
      <c r="A15" s="46" t="s">
        <v>1</v>
      </c>
      <c r="B15" s="47"/>
      <c r="C15" s="47"/>
      <c r="D15" s="47"/>
    </row>
    <row r="16" spans="1:7" ht="27.5">
      <c r="A16" s="46" t="s">
        <v>2</v>
      </c>
      <c r="B16" s="48"/>
      <c r="C16" s="48"/>
      <c r="D16" s="48"/>
    </row>
    <row r="29" spans="1:4">
      <c r="A29" s="27"/>
      <c r="B29" s="27"/>
      <c r="C29" s="27"/>
      <c r="D29" s="27"/>
    </row>
    <row r="30" spans="1:4">
      <c r="A30" s="27"/>
      <c r="B30" s="27"/>
      <c r="C30" s="27"/>
      <c r="D30" s="27"/>
    </row>
    <row r="31" spans="1:4">
      <c r="A31" s="21" t="s">
        <v>3</v>
      </c>
      <c r="B31" s="28"/>
      <c r="C31" s="22" t="s">
        <v>4</v>
      </c>
      <c r="D31" s="29" t="s">
        <v>5</v>
      </c>
    </row>
    <row r="32" spans="1:4">
      <c r="A32" s="30" t="s">
        <v>6</v>
      </c>
      <c r="B32" s="23" t="s">
        <v>163</v>
      </c>
      <c r="C32" s="31" t="s">
        <v>7</v>
      </c>
      <c r="D32" s="32">
        <v>44158</v>
      </c>
    </row>
    <row r="33" spans="1:4">
      <c r="A33" s="27"/>
      <c r="B33" s="33"/>
      <c r="C33" s="33"/>
      <c r="D33" s="33"/>
    </row>
    <row r="34" spans="1:4">
      <c r="A34" s="27"/>
      <c r="B34" s="33"/>
      <c r="C34" s="33"/>
      <c r="D34" s="33"/>
    </row>
    <row r="35" spans="1:4">
      <c r="A35" s="27"/>
      <c r="B35" s="33"/>
      <c r="C35" s="33"/>
      <c r="D35" s="33"/>
    </row>
    <row r="36" spans="1:4">
      <c r="A36" s="27"/>
      <c r="B36" s="33"/>
      <c r="C36" s="33"/>
      <c r="D36" s="33"/>
    </row>
    <row r="37" spans="1:4">
      <c r="A37" s="27"/>
      <c r="B37" s="27"/>
      <c r="C37" s="27"/>
      <c r="D37" s="27"/>
    </row>
  </sheetData>
  <mergeCells count="2">
    <mergeCell ref="A15:D15"/>
    <mergeCell ref="A16:D16"/>
  </mergeCells>
  <phoneticPr fontId="21" type="noConversion"/>
  <pageMargins left="0.69930555555555596" right="0.69930555555555596" top="0.75" bottom="0.75" header="0.3" footer="0.3"/>
  <pageSetup paperSize="9" orientation="portrait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>
      <selection activeCell="D7" sqref="D7:E7"/>
    </sheetView>
  </sheetViews>
  <sheetFormatPr defaultColWidth="9" defaultRowHeight="14"/>
  <cols>
    <col min="1" max="1" width="25.26953125" customWidth="1"/>
    <col min="2" max="2" width="9" customWidth="1"/>
    <col min="3" max="3" width="18.6328125" customWidth="1"/>
    <col min="4" max="4" width="16.36328125" customWidth="1"/>
    <col min="5" max="5" width="18.08984375" customWidth="1"/>
  </cols>
  <sheetData>
    <row r="1" spans="1:5" ht="19.5" customHeight="1">
      <c r="A1" s="18" t="s">
        <v>8</v>
      </c>
      <c r="B1" s="51"/>
      <c r="C1" s="52"/>
      <c r="D1" s="52"/>
      <c r="E1" s="53"/>
    </row>
    <row r="2" spans="1:5" ht="19.5" customHeight="1">
      <c r="A2" s="18" t="s">
        <v>9</v>
      </c>
      <c r="B2" s="49"/>
      <c r="C2" s="49"/>
      <c r="D2" s="3" t="s">
        <v>10</v>
      </c>
      <c r="E2" s="19"/>
    </row>
    <row r="3" spans="1:5" ht="20.25" customHeight="1">
      <c r="A3" s="3" t="s">
        <v>11</v>
      </c>
      <c r="B3" s="3" t="s">
        <v>12</v>
      </c>
      <c r="C3" s="3" t="s">
        <v>13</v>
      </c>
      <c r="D3" s="50" t="s">
        <v>14</v>
      </c>
      <c r="E3" s="50"/>
    </row>
    <row r="4" spans="1:5">
      <c r="A4" s="2" t="s">
        <v>15</v>
      </c>
      <c r="B4" s="2" t="s">
        <v>16</v>
      </c>
      <c r="C4" s="2"/>
      <c r="D4" s="49"/>
      <c r="E4" s="49"/>
    </row>
    <row r="5" spans="1:5">
      <c r="A5" s="2" t="s">
        <v>17</v>
      </c>
      <c r="B5" s="2" t="s">
        <v>18</v>
      </c>
      <c r="C5" s="2"/>
      <c r="D5" s="49"/>
      <c r="E5" s="49"/>
    </row>
    <row r="6" spans="1:5">
      <c r="A6" s="2" t="s">
        <v>19</v>
      </c>
      <c r="B6" s="2" t="s">
        <v>20</v>
      </c>
      <c r="C6" s="2"/>
      <c r="D6" s="49"/>
      <c r="E6" s="49"/>
    </row>
    <row r="7" spans="1:5">
      <c r="A7" s="2" t="s">
        <v>21</v>
      </c>
      <c r="B7" s="2" t="s">
        <v>22</v>
      </c>
      <c r="C7" s="2"/>
      <c r="D7" s="49"/>
      <c r="E7" s="49"/>
    </row>
    <row r="8" spans="1:5" ht="17.25" customHeight="1">
      <c r="A8" s="2" t="s">
        <v>23</v>
      </c>
      <c r="B8" s="2" t="s">
        <v>24</v>
      </c>
      <c r="C8" s="2"/>
      <c r="D8" s="49"/>
      <c r="E8" s="49"/>
    </row>
    <row r="9" spans="1:5" ht="17.25" customHeight="1">
      <c r="A9" s="2" t="s">
        <v>164</v>
      </c>
      <c r="B9" s="2" t="s">
        <v>25</v>
      </c>
      <c r="C9" s="2"/>
      <c r="D9" s="49"/>
      <c r="E9" s="49"/>
    </row>
    <row r="10" spans="1:5" ht="17.25" customHeight="1">
      <c r="A10" s="2" t="s">
        <v>26</v>
      </c>
      <c r="B10" s="2" t="s">
        <v>27</v>
      </c>
      <c r="C10" s="2"/>
      <c r="D10" s="49"/>
      <c r="E10" s="49"/>
    </row>
    <row r="11" spans="1:5" ht="17.25" customHeight="1">
      <c r="A11" s="2" t="s">
        <v>28</v>
      </c>
      <c r="B11" s="2" t="s">
        <v>29</v>
      </c>
      <c r="C11" s="2"/>
      <c r="D11" s="49"/>
      <c r="E11" s="49"/>
    </row>
    <row r="12" spans="1:5" ht="17.25" customHeight="1">
      <c r="A12" s="2" t="s">
        <v>30</v>
      </c>
      <c r="B12" s="2" t="s">
        <v>31</v>
      </c>
      <c r="C12" s="2"/>
      <c r="D12" s="49"/>
      <c r="E12" s="49"/>
    </row>
    <row r="13" spans="1:5" ht="17.25" customHeight="1">
      <c r="A13" s="2" t="s">
        <v>32</v>
      </c>
      <c r="B13" s="2" t="s">
        <v>33</v>
      </c>
      <c r="C13" s="2"/>
      <c r="D13" s="49"/>
      <c r="E13" s="49"/>
    </row>
    <row r="14" spans="1:5" ht="17.25" customHeight="1">
      <c r="A14" s="2" t="s">
        <v>34</v>
      </c>
      <c r="B14" s="2" t="s">
        <v>35</v>
      </c>
      <c r="C14" s="2"/>
      <c r="D14" s="49"/>
      <c r="E14" s="49"/>
    </row>
  </sheetData>
  <mergeCells count="14">
    <mergeCell ref="D13:E13"/>
    <mergeCell ref="D14:E14"/>
    <mergeCell ref="D6:E6"/>
    <mergeCell ref="D7:E7"/>
    <mergeCell ref="D8:E8"/>
    <mergeCell ref="D9:E9"/>
    <mergeCell ref="D10:E10"/>
    <mergeCell ref="D11:E11"/>
    <mergeCell ref="D12:E12"/>
    <mergeCell ref="B2:C2"/>
    <mergeCell ref="D3:E3"/>
    <mergeCell ref="D4:E4"/>
    <mergeCell ref="D5:E5"/>
    <mergeCell ref="B1:E1"/>
  </mergeCells>
  <phoneticPr fontId="21" type="noConversion"/>
  <dataValidations count="1">
    <dataValidation type="list" allowBlank="1" showInputMessage="1" showErrorMessage="1" sqref="C4:C14" xr:uid="{00000000-0002-0000-0100-000000000000}">
      <formula1>"有,没有,不适用"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2"/>
  <sheetViews>
    <sheetView showGridLines="0" tabSelected="1" workbookViewId="0">
      <selection sqref="A1:A2"/>
    </sheetView>
  </sheetViews>
  <sheetFormatPr defaultColWidth="9" defaultRowHeight="14"/>
  <cols>
    <col min="1" max="1" width="5.26953125" customWidth="1"/>
    <col min="2" max="2" width="8.453125" customWidth="1"/>
    <col min="4" max="4" width="6.7265625" customWidth="1"/>
    <col min="11" max="11" width="21.90625" customWidth="1"/>
    <col min="12" max="12" width="16.81640625" customWidth="1"/>
    <col min="13" max="13" width="0" hidden="1" customWidth="1"/>
    <col min="14" max="14" width="13.6328125" hidden="1" customWidth="1"/>
    <col min="15" max="15" width="10.26953125" hidden="1" customWidth="1"/>
    <col min="16" max="16" width="0" hidden="1" customWidth="1"/>
  </cols>
  <sheetData>
    <row r="1" spans="1:18" ht="17.5" customHeight="1">
      <c r="A1" s="58" t="s">
        <v>36</v>
      </c>
      <c r="B1" s="58" t="s">
        <v>178</v>
      </c>
      <c r="C1" s="58" t="s">
        <v>42</v>
      </c>
      <c r="D1" s="58" t="s">
        <v>43</v>
      </c>
      <c r="E1" s="58" t="s">
        <v>44</v>
      </c>
      <c r="F1" s="58" t="s">
        <v>45</v>
      </c>
      <c r="G1" s="58" t="s">
        <v>46</v>
      </c>
      <c r="H1" s="58" t="s">
        <v>47</v>
      </c>
      <c r="I1" s="58" t="s">
        <v>48</v>
      </c>
      <c r="J1" s="58" t="s">
        <v>49</v>
      </c>
      <c r="K1" s="58" t="s">
        <v>179</v>
      </c>
      <c r="L1" s="58" t="s">
        <v>51</v>
      </c>
      <c r="M1" s="54" t="s">
        <v>52</v>
      </c>
      <c r="N1" s="54"/>
      <c r="O1" s="54"/>
      <c r="P1" s="54"/>
      <c r="Q1" s="60" t="s">
        <v>53</v>
      </c>
      <c r="R1" s="54" t="s">
        <v>54</v>
      </c>
    </row>
    <row r="2" spans="1:18" ht="19.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14" t="s">
        <v>55</v>
      </c>
      <c r="N2" s="14" t="s">
        <v>56</v>
      </c>
      <c r="O2" s="14" t="s">
        <v>57</v>
      </c>
      <c r="P2" s="14" t="s">
        <v>58</v>
      </c>
      <c r="Q2" s="61"/>
      <c r="R2" s="54"/>
    </row>
    <row r="3" spans="1:18" ht="18" customHeight="1">
      <c r="A3" s="55" t="s">
        <v>59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7"/>
    </row>
    <row r="4" spans="1: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</sheetData>
  <mergeCells count="16">
    <mergeCell ref="M1:P1"/>
    <mergeCell ref="A3:R3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Q1:Q2"/>
    <mergeCell ref="R1:R2"/>
  </mergeCells>
  <phoneticPr fontId="21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"/>
  <sheetViews>
    <sheetView showGridLines="0" workbookViewId="0">
      <selection activeCell="E15" sqref="E15"/>
    </sheetView>
  </sheetViews>
  <sheetFormatPr defaultColWidth="9" defaultRowHeight="14" outlineLevelRow="1"/>
  <cols>
    <col min="1" max="1" width="5.26953125" customWidth="1"/>
    <col min="2" max="2" width="8.453125" customWidth="1"/>
    <col min="10" max="15" width="13.7265625" customWidth="1"/>
    <col min="17" max="17" width="13.6328125" customWidth="1"/>
    <col min="18" max="18" width="10.26953125" customWidth="1"/>
    <col min="21" max="21" width="9.36328125" customWidth="1"/>
    <col min="22" max="22" width="11" customWidth="1"/>
  </cols>
  <sheetData>
    <row r="1" spans="1:22">
      <c r="A1" s="54" t="s">
        <v>36</v>
      </c>
      <c r="B1" s="60" t="s">
        <v>41</v>
      </c>
      <c r="C1" s="54" t="s">
        <v>42</v>
      </c>
      <c r="D1" s="54" t="s">
        <v>44</v>
      </c>
      <c r="E1" s="67" t="s">
        <v>177</v>
      </c>
      <c r="F1" s="67" t="s">
        <v>46</v>
      </c>
      <c r="G1" s="67" t="s">
        <v>47</v>
      </c>
      <c r="H1" s="67" t="s">
        <v>48</v>
      </c>
      <c r="I1" s="54" t="s">
        <v>49</v>
      </c>
      <c r="J1" s="68" t="s">
        <v>175</v>
      </c>
      <c r="K1" s="72" t="s">
        <v>169</v>
      </c>
      <c r="L1" s="72" t="s">
        <v>170</v>
      </c>
      <c r="M1" s="70" t="s">
        <v>176</v>
      </c>
      <c r="N1" s="74" t="s">
        <v>173</v>
      </c>
      <c r="O1" s="74" t="s">
        <v>172</v>
      </c>
      <c r="P1" s="54" t="s">
        <v>52</v>
      </c>
      <c r="Q1" s="54"/>
      <c r="R1" s="54"/>
      <c r="S1" s="54"/>
      <c r="T1" s="60" t="s">
        <v>53</v>
      </c>
      <c r="U1" s="54" t="s">
        <v>72</v>
      </c>
      <c r="V1" s="54" t="s">
        <v>54</v>
      </c>
    </row>
    <row r="2" spans="1:22" ht="26.25" customHeight="1">
      <c r="A2" s="54"/>
      <c r="B2" s="61"/>
      <c r="C2" s="54"/>
      <c r="D2" s="54"/>
      <c r="E2" s="54"/>
      <c r="F2" s="54"/>
      <c r="G2" s="54"/>
      <c r="H2" s="54"/>
      <c r="I2" s="54"/>
      <c r="J2" s="69"/>
      <c r="K2" s="73"/>
      <c r="L2" s="73"/>
      <c r="M2" s="71"/>
      <c r="N2" s="75"/>
      <c r="O2" s="75"/>
      <c r="P2" s="14" t="s">
        <v>55</v>
      </c>
      <c r="Q2" s="14" t="s">
        <v>56</v>
      </c>
      <c r="R2" s="14" t="s">
        <v>57</v>
      </c>
      <c r="S2" s="14" t="s">
        <v>58</v>
      </c>
      <c r="T2" s="61"/>
      <c r="U2" s="54"/>
      <c r="V2" s="54"/>
    </row>
    <row r="3" spans="1:22" ht="26.25" customHeight="1">
      <c r="A3" s="55" t="s">
        <v>60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</row>
    <row r="4" spans="1:22" s="4" customFormat="1" ht="37" customHeight="1">
      <c r="A4" s="66" t="s">
        <v>165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</row>
    <row r="5" spans="1:22" ht="17.25" customHeight="1" outlineLevel="1">
      <c r="A5" s="35">
        <v>1</v>
      </c>
      <c r="B5" s="35" t="s">
        <v>61</v>
      </c>
      <c r="C5" s="35" t="s">
        <v>61</v>
      </c>
      <c r="D5" s="37" t="s">
        <v>62</v>
      </c>
      <c r="E5" s="37">
        <f>SUM(E6:E8)</f>
        <v>9</v>
      </c>
      <c r="F5" s="37">
        <v>99</v>
      </c>
      <c r="G5" s="37">
        <v>1</v>
      </c>
      <c r="H5" s="39">
        <f>F5/(F5+G5)</f>
        <v>0.99</v>
      </c>
      <c r="I5" s="37"/>
      <c r="J5" s="37">
        <v>10</v>
      </c>
      <c r="K5" s="37"/>
      <c r="L5" s="44" t="s">
        <v>171</v>
      </c>
      <c r="M5" s="40">
        <f>AVERAGE(M6:M8)</f>
        <v>0.46666666666666673</v>
      </c>
      <c r="N5" s="40"/>
      <c r="O5" s="45" t="s">
        <v>171</v>
      </c>
      <c r="P5" s="38">
        <v>0.5</v>
      </c>
      <c r="Q5" s="38">
        <v>0.6</v>
      </c>
      <c r="R5" s="38">
        <v>0.78</v>
      </c>
      <c r="S5" s="38">
        <v>0.35</v>
      </c>
      <c r="T5" s="35"/>
      <c r="U5" s="36" t="s">
        <v>167</v>
      </c>
      <c r="V5" s="35"/>
    </row>
    <row r="6" spans="1:22" outlineLevel="1">
      <c r="A6" s="5">
        <v>2</v>
      </c>
      <c r="B6" s="5" t="s">
        <v>63</v>
      </c>
      <c r="C6" s="5" t="s">
        <v>64</v>
      </c>
      <c r="D6" s="6" t="s">
        <v>62</v>
      </c>
      <c r="E6" s="6">
        <v>2</v>
      </c>
      <c r="F6" s="6">
        <v>45</v>
      </c>
      <c r="G6" s="6">
        <v>0</v>
      </c>
      <c r="H6" s="41">
        <f t="shared" ref="H6:H8" si="0">F6/(F6+G6)</f>
        <v>1</v>
      </c>
      <c r="I6" s="6"/>
      <c r="J6" s="6"/>
      <c r="K6" s="6"/>
      <c r="L6" s="42" t="s">
        <v>171</v>
      </c>
      <c r="M6" s="6">
        <v>0.5</v>
      </c>
      <c r="N6" s="6"/>
      <c r="O6" s="43" t="s">
        <v>171</v>
      </c>
      <c r="P6" s="65">
        <v>0.5</v>
      </c>
      <c r="Q6" s="65">
        <v>0.6</v>
      </c>
      <c r="R6" s="65">
        <v>0.78</v>
      </c>
      <c r="S6" s="65">
        <v>0.35</v>
      </c>
      <c r="T6" s="62"/>
      <c r="U6" s="5"/>
      <c r="V6" s="5"/>
    </row>
    <row r="7" spans="1:22" outlineLevel="1">
      <c r="A7" s="5">
        <v>3</v>
      </c>
      <c r="B7" s="5" t="s">
        <v>65</v>
      </c>
      <c r="C7" s="5" t="s">
        <v>66</v>
      </c>
      <c r="D7" s="6" t="s">
        <v>62</v>
      </c>
      <c r="E7" s="6">
        <v>3</v>
      </c>
      <c r="F7" s="6">
        <v>31</v>
      </c>
      <c r="G7" s="6">
        <v>0</v>
      </c>
      <c r="H7" s="41">
        <f t="shared" si="0"/>
        <v>1</v>
      </c>
      <c r="I7" s="6"/>
      <c r="J7" s="6"/>
      <c r="K7" s="6"/>
      <c r="L7" s="42" t="s">
        <v>171</v>
      </c>
      <c r="M7" s="6">
        <v>0.6</v>
      </c>
      <c r="N7" s="6"/>
      <c r="O7" s="43" t="s">
        <v>171</v>
      </c>
      <c r="P7" s="63"/>
      <c r="Q7" s="63"/>
      <c r="R7" s="63"/>
      <c r="S7" s="63"/>
      <c r="T7" s="63"/>
      <c r="U7" s="5"/>
      <c r="V7" s="5"/>
    </row>
    <row r="8" spans="1:22" outlineLevel="1">
      <c r="A8" s="5">
        <v>4</v>
      </c>
      <c r="B8" s="5" t="s">
        <v>67</v>
      </c>
      <c r="C8" s="5" t="s">
        <v>68</v>
      </c>
      <c r="D8" s="6" t="s">
        <v>62</v>
      </c>
      <c r="E8" s="6">
        <v>4</v>
      </c>
      <c r="F8" s="6">
        <v>23</v>
      </c>
      <c r="G8" s="6">
        <v>1</v>
      </c>
      <c r="H8" s="41">
        <f t="shared" si="0"/>
        <v>0.95833333333333337</v>
      </c>
      <c r="I8" s="6"/>
      <c r="J8" s="6"/>
      <c r="K8" s="6"/>
      <c r="L8" s="42" t="s">
        <v>171</v>
      </c>
      <c r="M8" s="6">
        <v>0.3</v>
      </c>
      <c r="N8" s="6"/>
      <c r="O8" s="43" t="s">
        <v>171</v>
      </c>
      <c r="P8" s="64"/>
      <c r="Q8" s="64"/>
      <c r="R8" s="64"/>
      <c r="S8" s="64"/>
      <c r="T8" s="64"/>
      <c r="U8" s="5"/>
      <c r="V8" s="5"/>
    </row>
    <row r="9" spans="1:22" s="4" customFormat="1" ht="37" customHeight="1">
      <c r="A9" s="66" t="s">
        <v>166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 spans="1:22" ht="20.25" customHeight="1" outlineLevel="1">
      <c r="A10" s="35">
        <v>5</v>
      </c>
      <c r="B10" s="35" t="s">
        <v>70</v>
      </c>
      <c r="C10" s="35" t="s">
        <v>70</v>
      </c>
      <c r="D10" s="37" t="s">
        <v>62</v>
      </c>
      <c r="E10" s="37">
        <v>99</v>
      </c>
      <c r="F10" s="37">
        <v>99</v>
      </c>
      <c r="G10" s="37">
        <v>1</v>
      </c>
      <c r="H10" s="39">
        <f>F10/(F10+G10)</f>
        <v>0.99</v>
      </c>
      <c r="I10" s="37"/>
      <c r="J10" s="37">
        <v>10</v>
      </c>
      <c r="K10" s="37"/>
      <c r="L10" s="44" t="s">
        <v>174</v>
      </c>
      <c r="M10" s="40">
        <f>AVERAGE(M11:M13)</f>
        <v>0.46666666666666673</v>
      </c>
      <c r="N10" s="40"/>
      <c r="O10" s="45" t="s">
        <v>174</v>
      </c>
      <c r="P10" s="38">
        <v>0.5</v>
      </c>
      <c r="Q10" s="38">
        <v>0.6</v>
      </c>
      <c r="R10" s="38">
        <v>0.78</v>
      </c>
      <c r="S10" s="38">
        <v>0.35</v>
      </c>
      <c r="T10" s="35"/>
      <c r="U10" s="36"/>
      <c r="V10" s="35"/>
    </row>
    <row r="11" spans="1:22" outlineLevel="1">
      <c r="A11" s="5">
        <v>6</v>
      </c>
      <c r="B11" s="5" t="s">
        <v>63</v>
      </c>
      <c r="C11" s="5" t="s">
        <v>64</v>
      </c>
      <c r="D11" s="6" t="s">
        <v>62</v>
      </c>
      <c r="E11" s="6">
        <v>45</v>
      </c>
      <c r="F11" s="6">
        <v>45</v>
      </c>
      <c r="G11" s="6">
        <v>0</v>
      </c>
      <c r="H11" s="41">
        <f t="shared" ref="H11:H13" si="1">F11/(F11+G11)</f>
        <v>1</v>
      </c>
      <c r="I11" s="6"/>
      <c r="J11" s="6"/>
      <c r="K11" s="6"/>
      <c r="L11" s="42" t="s">
        <v>174</v>
      </c>
      <c r="M11" s="6">
        <v>0.5</v>
      </c>
      <c r="N11" s="6"/>
      <c r="O11" s="43" t="s">
        <v>174</v>
      </c>
      <c r="P11" s="65">
        <v>0.5</v>
      </c>
      <c r="Q11" s="65">
        <v>0.6</v>
      </c>
      <c r="R11" s="65">
        <v>0.78</v>
      </c>
      <c r="S11" s="65">
        <v>0.35</v>
      </c>
      <c r="T11" s="62"/>
      <c r="U11" s="5"/>
      <c r="V11" s="5"/>
    </row>
    <row r="12" spans="1:22" outlineLevel="1">
      <c r="A12" s="5">
        <v>7</v>
      </c>
      <c r="B12" s="5" t="s">
        <v>65</v>
      </c>
      <c r="C12" s="5" t="s">
        <v>66</v>
      </c>
      <c r="D12" s="6" t="s">
        <v>62</v>
      </c>
      <c r="E12" s="6">
        <v>31</v>
      </c>
      <c r="F12" s="6">
        <v>31</v>
      </c>
      <c r="G12" s="6">
        <v>0</v>
      </c>
      <c r="H12" s="41">
        <f t="shared" si="1"/>
        <v>1</v>
      </c>
      <c r="I12" s="6"/>
      <c r="J12" s="6"/>
      <c r="K12" s="6"/>
      <c r="L12" s="42" t="s">
        <v>171</v>
      </c>
      <c r="M12" s="6">
        <v>0.6</v>
      </c>
      <c r="N12" s="6"/>
      <c r="O12" s="43" t="s">
        <v>171</v>
      </c>
      <c r="P12" s="63"/>
      <c r="Q12" s="63"/>
      <c r="R12" s="63"/>
      <c r="S12" s="63"/>
      <c r="T12" s="63"/>
      <c r="U12" s="5"/>
      <c r="V12" s="5"/>
    </row>
    <row r="13" spans="1:22" outlineLevel="1">
      <c r="A13" s="5">
        <v>8</v>
      </c>
      <c r="B13" s="5" t="s">
        <v>67</v>
      </c>
      <c r="C13" s="5" t="s">
        <v>68</v>
      </c>
      <c r="D13" s="6" t="s">
        <v>62</v>
      </c>
      <c r="E13" s="6">
        <v>23</v>
      </c>
      <c r="F13" s="6">
        <v>23</v>
      </c>
      <c r="G13" s="6">
        <v>1</v>
      </c>
      <c r="H13" s="41">
        <f t="shared" si="1"/>
        <v>0.95833333333333337</v>
      </c>
      <c r="I13" s="6"/>
      <c r="J13" s="6"/>
      <c r="K13" s="6"/>
      <c r="L13" s="42" t="s">
        <v>171</v>
      </c>
      <c r="M13" s="6">
        <v>0.3</v>
      </c>
      <c r="N13" s="6"/>
      <c r="O13" s="43" t="s">
        <v>171</v>
      </c>
      <c r="P13" s="64"/>
      <c r="Q13" s="64"/>
      <c r="R13" s="64"/>
      <c r="S13" s="64"/>
      <c r="T13" s="64"/>
      <c r="U13" s="5"/>
      <c r="V13" s="5"/>
    </row>
  </sheetData>
  <dataConsolidate/>
  <mergeCells count="32">
    <mergeCell ref="I1:I2"/>
    <mergeCell ref="J1:J2"/>
    <mergeCell ref="M1:M2"/>
    <mergeCell ref="T1:T2"/>
    <mergeCell ref="V1:V2"/>
    <mergeCell ref="K1:K2"/>
    <mergeCell ref="N1:N2"/>
    <mergeCell ref="L1:L2"/>
    <mergeCell ref="O1:O2"/>
    <mergeCell ref="U1:U2"/>
    <mergeCell ref="P1:S1"/>
    <mergeCell ref="D1:D2"/>
    <mergeCell ref="F1:F2"/>
    <mergeCell ref="G1:G2"/>
    <mergeCell ref="H1:H2"/>
    <mergeCell ref="E1:E2"/>
    <mergeCell ref="A3:V3"/>
    <mergeCell ref="A1:A2"/>
    <mergeCell ref="B1:B2"/>
    <mergeCell ref="T11:T13"/>
    <mergeCell ref="S11:S13"/>
    <mergeCell ref="R11:R13"/>
    <mergeCell ref="Q11:Q13"/>
    <mergeCell ref="P11:P13"/>
    <mergeCell ref="A4:V4"/>
    <mergeCell ref="A9:V9"/>
    <mergeCell ref="P6:P8"/>
    <mergeCell ref="Q6:Q8"/>
    <mergeCell ref="R6:R8"/>
    <mergeCell ref="S6:S8"/>
    <mergeCell ref="T6:T8"/>
    <mergeCell ref="C1:C2"/>
  </mergeCells>
  <phoneticPr fontId="21" type="noConversion"/>
  <dataValidations count="1">
    <dataValidation type="list" allowBlank="1" showInputMessage="1" showErrorMessage="1" sqref="L5:L8 L10:L13" xr:uid="{00000000-0002-0000-0300-000000000000}">
      <formula1>"是,否"</formula1>
    </dataValidation>
  </dataValidations>
  <hyperlinks>
    <hyperlink ref="U5" location="测试趋势图!I6" display="ART" xr:uid="{00000000-0004-0000-0300-000000000000}"/>
  </hyperlinks>
  <pageMargins left="0.69930555555555596" right="0.69930555555555596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I6"/>
  <sheetViews>
    <sheetView workbookViewId="0">
      <selection activeCell="L15" sqref="L15"/>
    </sheetView>
  </sheetViews>
  <sheetFormatPr defaultRowHeight="14"/>
  <sheetData>
    <row r="6" spans="9:9">
      <c r="I6" s="34" t="s">
        <v>168</v>
      </c>
    </row>
  </sheetData>
  <phoneticPr fontId="21" type="noConversion"/>
  <hyperlinks>
    <hyperlink ref="I6" location="混合联机（容量）测试结果!P5" display="返回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"/>
  <sheetViews>
    <sheetView showGridLines="0" workbookViewId="0">
      <selection activeCell="F10" sqref="F10"/>
    </sheetView>
  </sheetViews>
  <sheetFormatPr defaultColWidth="9" defaultRowHeight="14" outlineLevelRow="1"/>
  <cols>
    <col min="1" max="1" width="5.26953125" customWidth="1"/>
    <col min="2" max="2" width="8.453125" customWidth="1"/>
    <col min="12" max="12" width="13.6328125" customWidth="1"/>
    <col min="13" max="13" width="10.26953125" customWidth="1"/>
  </cols>
  <sheetData>
    <row r="1" spans="1:16">
      <c r="A1" s="54" t="s">
        <v>36</v>
      </c>
      <c r="B1" s="60" t="s">
        <v>41</v>
      </c>
      <c r="C1" s="54" t="s">
        <v>42</v>
      </c>
      <c r="D1" s="54" t="s">
        <v>44</v>
      </c>
      <c r="E1" s="67" t="s">
        <v>46</v>
      </c>
      <c r="F1" s="67" t="s">
        <v>47</v>
      </c>
      <c r="G1" s="67" t="s">
        <v>48</v>
      </c>
      <c r="H1" s="54" t="s">
        <v>49</v>
      </c>
      <c r="I1" s="67" t="s">
        <v>50</v>
      </c>
      <c r="J1" s="67" t="s">
        <v>51</v>
      </c>
      <c r="K1" s="54" t="s">
        <v>52</v>
      </c>
      <c r="L1" s="54"/>
      <c r="M1" s="54"/>
      <c r="N1" s="54"/>
      <c r="O1" s="60" t="s">
        <v>53</v>
      </c>
      <c r="P1" s="54" t="s">
        <v>54</v>
      </c>
    </row>
    <row r="2" spans="1:16">
      <c r="A2" s="54"/>
      <c r="B2" s="61"/>
      <c r="C2" s="54"/>
      <c r="D2" s="54"/>
      <c r="E2" s="54"/>
      <c r="F2" s="54"/>
      <c r="G2" s="54"/>
      <c r="H2" s="54"/>
      <c r="I2" s="54"/>
      <c r="J2" s="54"/>
      <c r="K2" s="14" t="s">
        <v>55</v>
      </c>
      <c r="L2" s="14" t="s">
        <v>56</v>
      </c>
      <c r="M2" s="14" t="s">
        <v>57</v>
      </c>
      <c r="N2" s="14" t="s">
        <v>58</v>
      </c>
      <c r="O2" s="61"/>
      <c r="P2" s="54"/>
    </row>
    <row r="3" spans="1:16">
      <c r="A3" s="55" t="s">
        <v>71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7"/>
    </row>
    <row r="4" spans="1:16">
      <c r="A4" s="13">
        <v>1</v>
      </c>
      <c r="B4" s="13" t="s">
        <v>61</v>
      </c>
      <c r="C4" s="13" t="s">
        <v>61</v>
      </c>
      <c r="D4" s="13" t="s">
        <v>62</v>
      </c>
      <c r="E4" s="13">
        <v>99</v>
      </c>
      <c r="F4" s="13">
        <v>1</v>
      </c>
      <c r="G4" s="15">
        <f>E4/(E4+F4)</f>
        <v>0.99</v>
      </c>
      <c r="H4" s="13"/>
      <c r="I4" s="13">
        <v>10</v>
      </c>
      <c r="J4" s="13"/>
      <c r="K4" s="13"/>
      <c r="L4" s="13"/>
      <c r="M4" s="13"/>
      <c r="N4" s="13"/>
      <c r="O4" s="13"/>
      <c r="P4" s="17" t="s">
        <v>72</v>
      </c>
    </row>
    <row r="5" spans="1:16" outlineLevel="1">
      <c r="A5" s="5">
        <v>2</v>
      </c>
      <c r="B5" s="5" t="s">
        <v>63</v>
      </c>
      <c r="C5" s="5" t="s">
        <v>64</v>
      </c>
      <c r="D5" s="5" t="s">
        <v>62</v>
      </c>
      <c r="E5" s="5">
        <v>45</v>
      </c>
      <c r="F5" s="5">
        <v>0</v>
      </c>
      <c r="G5" s="16">
        <f t="shared" ref="G5:G12" si="0">E5/(E5+F5)</f>
        <v>1</v>
      </c>
      <c r="H5" s="5"/>
      <c r="I5" s="5"/>
      <c r="J5" s="5"/>
      <c r="K5" s="5"/>
      <c r="L5" s="5"/>
      <c r="M5" s="5"/>
      <c r="N5" s="5"/>
      <c r="O5" s="5"/>
      <c r="P5" s="5"/>
    </row>
    <row r="6" spans="1:16" outlineLevel="1">
      <c r="A6" s="5">
        <v>3</v>
      </c>
      <c r="B6" s="5" t="s">
        <v>65</v>
      </c>
      <c r="C6" s="5" t="s">
        <v>66</v>
      </c>
      <c r="D6" s="5" t="s">
        <v>62</v>
      </c>
      <c r="E6" s="5">
        <v>31</v>
      </c>
      <c r="F6" s="5">
        <v>0</v>
      </c>
      <c r="G6" s="16">
        <f t="shared" si="0"/>
        <v>1</v>
      </c>
      <c r="H6" s="5"/>
      <c r="I6" s="5"/>
      <c r="J6" s="5"/>
      <c r="K6" s="5"/>
      <c r="L6" s="5"/>
      <c r="M6" s="5"/>
      <c r="N6" s="5"/>
      <c r="O6" s="5"/>
      <c r="P6" s="5"/>
    </row>
    <row r="7" spans="1:16" outlineLevel="1">
      <c r="A7" s="5">
        <v>4</v>
      </c>
      <c r="B7" s="5" t="s">
        <v>67</v>
      </c>
      <c r="C7" s="5" t="s">
        <v>68</v>
      </c>
      <c r="D7" s="5" t="s">
        <v>62</v>
      </c>
      <c r="E7" s="5">
        <v>23</v>
      </c>
      <c r="F7" s="5">
        <v>1</v>
      </c>
      <c r="G7" s="16">
        <f t="shared" si="0"/>
        <v>0.95833333333333337</v>
      </c>
      <c r="H7" s="5" t="s">
        <v>69</v>
      </c>
      <c r="I7" s="5"/>
      <c r="J7" s="5"/>
      <c r="K7" s="5"/>
      <c r="L7" s="5"/>
      <c r="M7" s="5"/>
      <c r="N7" s="5"/>
      <c r="O7" s="5"/>
      <c r="P7" s="5"/>
    </row>
    <row r="8" spans="1:16">
      <c r="A8" s="13">
        <v>5</v>
      </c>
      <c r="B8" s="13" t="s">
        <v>70</v>
      </c>
      <c r="C8" s="13" t="s">
        <v>70</v>
      </c>
      <c r="D8" s="13" t="s">
        <v>62</v>
      </c>
      <c r="E8" s="13">
        <v>200</v>
      </c>
      <c r="F8" s="13">
        <v>0</v>
      </c>
      <c r="G8" s="15">
        <f t="shared" si="0"/>
        <v>1</v>
      </c>
      <c r="H8" s="13"/>
      <c r="I8" s="13">
        <v>20</v>
      </c>
      <c r="J8" s="13"/>
      <c r="K8" s="13"/>
      <c r="L8" s="13"/>
      <c r="M8" s="13"/>
      <c r="N8" s="13"/>
      <c r="O8" s="13"/>
      <c r="P8" s="13" t="s">
        <v>72</v>
      </c>
    </row>
    <row r="9" spans="1:16" outlineLevel="1">
      <c r="A9" s="5">
        <v>6</v>
      </c>
      <c r="B9" s="5" t="s">
        <v>63</v>
      </c>
      <c r="C9" s="5" t="s">
        <v>64</v>
      </c>
      <c r="D9" s="5" t="s">
        <v>62</v>
      </c>
      <c r="E9" s="5">
        <v>90</v>
      </c>
      <c r="F9" s="5">
        <v>0</v>
      </c>
      <c r="G9" s="16">
        <f t="shared" si="0"/>
        <v>1</v>
      </c>
      <c r="H9" s="5"/>
      <c r="I9" s="5"/>
      <c r="J9" s="5"/>
      <c r="K9" s="5"/>
      <c r="L9" s="5"/>
      <c r="M9" s="5"/>
      <c r="N9" s="5"/>
      <c r="O9" s="5"/>
      <c r="P9" s="5"/>
    </row>
    <row r="10" spans="1:16" outlineLevel="1">
      <c r="A10" s="5">
        <v>7</v>
      </c>
      <c r="B10" s="5" t="s">
        <v>65</v>
      </c>
      <c r="C10" s="5" t="s">
        <v>66</v>
      </c>
      <c r="D10" s="5" t="s">
        <v>62</v>
      </c>
      <c r="E10" s="5">
        <v>62</v>
      </c>
      <c r="F10" s="5">
        <v>0</v>
      </c>
      <c r="G10" s="16">
        <f t="shared" si="0"/>
        <v>1</v>
      </c>
      <c r="H10" s="5"/>
      <c r="I10" s="5"/>
      <c r="J10" s="5"/>
      <c r="K10" s="5"/>
      <c r="L10" s="5"/>
      <c r="M10" s="5"/>
      <c r="N10" s="5"/>
      <c r="O10" s="5"/>
      <c r="P10" s="5"/>
    </row>
    <row r="11" spans="1:16" outlineLevel="1">
      <c r="A11" s="5">
        <v>8</v>
      </c>
      <c r="B11" s="5" t="s">
        <v>67</v>
      </c>
      <c r="C11" s="5" t="s">
        <v>68</v>
      </c>
      <c r="D11" s="5" t="s">
        <v>62</v>
      </c>
      <c r="E11" s="5">
        <v>48</v>
      </c>
      <c r="F11" s="5">
        <v>0</v>
      </c>
      <c r="G11" s="16">
        <f t="shared" si="0"/>
        <v>1</v>
      </c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>
        <v>9</v>
      </c>
      <c r="B12" s="5"/>
      <c r="C12" s="5"/>
      <c r="D12" s="5"/>
      <c r="E12" s="5"/>
      <c r="F12" s="5"/>
      <c r="G12" s="16" t="e">
        <f t="shared" si="0"/>
        <v>#DIV/0!</v>
      </c>
      <c r="H12" s="5"/>
      <c r="I12" s="5"/>
      <c r="J12" s="5"/>
      <c r="K12" s="5"/>
      <c r="L12" s="5"/>
      <c r="M12" s="5"/>
      <c r="N12" s="5"/>
      <c r="O12" s="5"/>
      <c r="P12" s="5"/>
    </row>
    <row r="15" spans="1:16">
      <c r="A15" t="s">
        <v>73</v>
      </c>
    </row>
  </sheetData>
  <mergeCells count="14">
    <mergeCell ref="K1:N1"/>
    <mergeCell ref="A3:P3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O1:O2"/>
    <mergeCell ref="P1:P2"/>
  </mergeCells>
  <phoneticPr fontId="21" type="noConversion"/>
  <hyperlinks>
    <hyperlink ref="P4" location="'附2-稳定性测试结果'!A40" display="趋势图" xr:uid="{00000000-0004-0000-0500-000000000000}"/>
  </hyperlinks>
  <pageMargins left="0.69930555555555596" right="0.69930555555555596" top="0.75" bottom="0.75" header="0.3" footer="0.3"/>
  <pageSetup paperSize="9" orientation="portrait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showGridLines="0" workbookViewId="0">
      <selection activeCell="I18" sqref="I18"/>
    </sheetView>
  </sheetViews>
  <sheetFormatPr defaultColWidth="9" defaultRowHeight="14"/>
  <cols>
    <col min="1" max="1" width="5.7265625" customWidth="1"/>
    <col min="2" max="2" width="12.36328125" customWidth="1"/>
    <col min="3" max="3" width="11.90625" customWidth="1"/>
    <col min="4" max="7" width="14.08984375" customWidth="1"/>
    <col min="9" max="11" width="14.08984375" customWidth="1"/>
    <col min="12" max="12" width="9.7265625" customWidth="1"/>
  </cols>
  <sheetData>
    <row r="1" spans="1:13" ht="21.75" customHeight="1">
      <c r="A1" s="1" t="s">
        <v>36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2" t="s">
        <v>38</v>
      </c>
      <c r="L1" s="12" t="s">
        <v>39</v>
      </c>
      <c r="M1" s="1" t="s">
        <v>54</v>
      </c>
    </row>
    <row r="2" spans="1:13" ht="19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19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</sheetData>
  <phoneticPr fontId="21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showGridLines="0" workbookViewId="0">
      <selection activeCell="I38" sqref="I38"/>
    </sheetView>
  </sheetViews>
  <sheetFormatPr defaultColWidth="9" defaultRowHeight="14"/>
  <cols>
    <col min="1" max="1" width="5.26953125" customWidth="1"/>
    <col min="4" max="4" width="30.90625" customWidth="1"/>
    <col min="5" max="5" width="9" style="4"/>
    <col min="6" max="6" width="26.26953125" customWidth="1"/>
    <col min="7" max="7" width="20.6328125" customWidth="1"/>
    <col min="8" max="8" width="12.7265625" customWidth="1"/>
    <col min="9" max="9" width="36" customWidth="1"/>
  </cols>
  <sheetData>
    <row r="1" spans="1:9" ht="21.75" customHeight="1">
      <c r="A1" s="3" t="s">
        <v>36</v>
      </c>
      <c r="B1" s="3" t="s">
        <v>83</v>
      </c>
      <c r="C1" s="3" t="s">
        <v>84</v>
      </c>
      <c r="D1" s="3" t="s">
        <v>85</v>
      </c>
      <c r="E1" s="3" t="s">
        <v>37</v>
      </c>
      <c r="F1" s="3" t="s">
        <v>86</v>
      </c>
      <c r="G1" s="3" t="s">
        <v>38</v>
      </c>
      <c r="H1" s="3" t="s">
        <v>39</v>
      </c>
      <c r="I1" s="3" t="s">
        <v>54</v>
      </c>
    </row>
    <row r="2" spans="1:9">
      <c r="A2" s="5">
        <v>1</v>
      </c>
      <c r="B2" s="5" t="s">
        <v>87</v>
      </c>
      <c r="C2" s="5" t="s">
        <v>88</v>
      </c>
      <c r="D2" s="5" t="s">
        <v>89</v>
      </c>
      <c r="E2" s="6" t="s">
        <v>90</v>
      </c>
      <c r="F2" s="5"/>
      <c r="G2" s="5"/>
      <c r="H2" s="5"/>
      <c r="I2" s="5" t="s">
        <v>91</v>
      </c>
    </row>
    <row r="3" spans="1:9">
      <c r="A3" s="5">
        <v>2</v>
      </c>
      <c r="B3" s="5" t="s">
        <v>87</v>
      </c>
      <c r="C3" s="5" t="s">
        <v>88</v>
      </c>
      <c r="D3" s="5" t="s">
        <v>92</v>
      </c>
      <c r="E3" s="6" t="s">
        <v>90</v>
      </c>
      <c r="F3" s="5"/>
      <c r="G3" s="5"/>
      <c r="H3" s="5"/>
      <c r="I3" s="5"/>
    </row>
    <row r="4" spans="1:9">
      <c r="A4" s="5">
        <v>3</v>
      </c>
      <c r="B4" s="5" t="s">
        <v>87</v>
      </c>
      <c r="C4" s="5" t="s">
        <v>88</v>
      </c>
      <c r="D4" s="5" t="s">
        <v>93</v>
      </c>
      <c r="E4" s="6" t="s">
        <v>90</v>
      </c>
      <c r="F4" s="5"/>
      <c r="G4" s="5"/>
      <c r="H4" s="5"/>
      <c r="I4" s="5"/>
    </row>
    <row r="5" spans="1:9">
      <c r="A5" s="5">
        <v>4</v>
      </c>
      <c r="B5" s="5" t="s">
        <v>87</v>
      </c>
      <c r="C5" s="5" t="s">
        <v>88</v>
      </c>
      <c r="D5" s="5" t="s">
        <v>94</v>
      </c>
      <c r="E5" s="6" t="s">
        <v>95</v>
      </c>
      <c r="F5" s="5" t="s">
        <v>96</v>
      </c>
      <c r="G5" s="5"/>
      <c r="H5" s="5"/>
      <c r="I5" s="5"/>
    </row>
    <row r="6" spans="1:9" ht="26">
      <c r="A6" s="5">
        <v>5</v>
      </c>
      <c r="B6" s="5" t="s">
        <v>87</v>
      </c>
      <c r="C6" s="5" t="s">
        <v>88</v>
      </c>
      <c r="D6" s="5" t="s">
        <v>55</v>
      </c>
      <c r="E6" s="6" t="s">
        <v>95</v>
      </c>
      <c r="F6" s="7" t="s">
        <v>97</v>
      </c>
      <c r="G6" s="7"/>
      <c r="H6" s="7"/>
      <c r="I6" s="5"/>
    </row>
    <row r="7" spans="1:9" ht="26">
      <c r="A7" s="5">
        <v>6</v>
      </c>
      <c r="B7" s="5" t="s">
        <v>87</v>
      </c>
      <c r="C7" s="5" t="s">
        <v>88</v>
      </c>
      <c r="D7" s="5" t="s">
        <v>57</v>
      </c>
      <c r="E7" s="6" t="s">
        <v>95</v>
      </c>
      <c r="F7" s="7" t="s">
        <v>98</v>
      </c>
      <c r="G7" s="7"/>
      <c r="H7" s="7"/>
      <c r="I7" s="5"/>
    </row>
    <row r="8" spans="1:9">
      <c r="A8" s="5">
        <v>7</v>
      </c>
      <c r="B8" s="5" t="s">
        <v>87</v>
      </c>
      <c r="C8" s="5" t="s">
        <v>88</v>
      </c>
      <c r="D8" s="5" t="s">
        <v>56</v>
      </c>
      <c r="E8" s="6" t="s">
        <v>95</v>
      </c>
      <c r="F8" s="5" t="s">
        <v>99</v>
      </c>
      <c r="G8" s="5"/>
      <c r="H8" s="5"/>
      <c r="I8" s="5"/>
    </row>
    <row r="9" spans="1:9">
      <c r="A9" s="5">
        <v>8</v>
      </c>
      <c r="B9" s="5" t="s">
        <v>87</v>
      </c>
      <c r="C9" s="5" t="s">
        <v>100</v>
      </c>
      <c r="D9" s="5" t="s">
        <v>101</v>
      </c>
      <c r="E9" s="6" t="s">
        <v>95</v>
      </c>
      <c r="F9" s="5" t="s">
        <v>102</v>
      </c>
      <c r="G9" s="5"/>
      <c r="H9" s="5"/>
      <c r="I9" s="5"/>
    </row>
    <row r="10" spans="1:9">
      <c r="A10" s="5">
        <v>9</v>
      </c>
      <c r="B10" s="5" t="s">
        <v>87</v>
      </c>
      <c r="C10" s="5" t="s">
        <v>100</v>
      </c>
      <c r="D10" s="5" t="s">
        <v>103</v>
      </c>
      <c r="E10" s="6" t="s">
        <v>95</v>
      </c>
      <c r="F10" s="8" t="s">
        <v>104</v>
      </c>
      <c r="G10" s="8"/>
      <c r="H10" s="8"/>
      <c r="I10" s="5"/>
    </row>
    <row r="11" spans="1:9">
      <c r="A11" s="5">
        <v>10</v>
      </c>
      <c r="B11" s="5" t="s">
        <v>87</v>
      </c>
      <c r="C11" s="5" t="s">
        <v>100</v>
      </c>
      <c r="D11" s="5" t="s">
        <v>105</v>
      </c>
      <c r="E11" s="6" t="s">
        <v>95</v>
      </c>
      <c r="F11" s="8" t="s">
        <v>106</v>
      </c>
      <c r="G11" s="8"/>
      <c r="H11" s="8"/>
      <c r="I11" s="5"/>
    </row>
    <row r="12" spans="1:9">
      <c r="A12" s="5">
        <v>11</v>
      </c>
      <c r="B12" s="5" t="s">
        <v>87</v>
      </c>
      <c r="C12" s="5" t="s">
        <v>107</v>
      </c>
      <c r="D12" s="5" t="s">
        <v>108</v>
      </c>
      <c r="E12" s="6" t="s">
        <v>95</v>
      </c>
      <c r="F12" s="5"/>
      <c r="G12" s="5"/>
      <c r="H12" s="5"/>
      <c r="I12" s="5"/>
    </row>
    <row r="13" spans="1:9">
      <c r="A13" s="5">
        <v>12</v>
      </c>
      <c r="B13" s="5" t="s">
        <v>87</v>
      </c>
      <c r="C13" s="5" t="s">
        <v>107</v>
      </c>
      <c r="D13" s="5" t="s">
        <v>109</v>
      </c>
      <c r="E13" s="6" t="s">
        <v>90</v>
      </c>
      <c r="F13" s="5"/>
      <c r="G13" s="5"/>
      <c r="H13" s="5"/>
      <c r="I13" s="5"/>
    </row>
    <row r="14" spans="1:9" ht="26">
      <c r="A14" s="5">
        <v>13</v>
      </c>
      <c r="B14" s="5" t="s">
        <v>87</v>
      </c>
      <c r="C14" s="5" t="s">
        <v>107</v>
      </c>
      <c r="D14" s="5" t="s">
        <v>110</v>
      </c>
      <c r="E14" s="6" t="s">
        <v>95</v>
      </c>
      <c r="F14" s="9" t="s">
        <v>97</v>
      </c>
      <c r="G14" s="7"/>
      <c r="H14" s="7"/>
      <c r="I14" s="5"/>
    </row>
    <row r="15" spans="1:9" ht="26">
      <c r="A15" s="5">
        <v>14</v>
      </c>
      <c r="B15" s="5" t="s">
        <v>87</v>
      </c>
      <c r="C15" s="5" t="s">
        <v>107</v>
      </c>
      <c r="D15" s="5" t="s">
        <v>111</v>
      </c>
      <c r="E15" s="6" t="s">
        <v>95</v>
      </c>
      <c r="F15" s="9" t="s">
        <v>98</v>
      </c>
      <c r="G15" s="7"/>
      <c r="H15" s="7"/>
      <c r="I15" s="5"/>
    </row>
    <row r="16" spans="1:9">
      <c r="A16" s="5">
        <v>15</v>
      </c>
      <c r="B16" s="5" t="s">
        <v>87</v>
      </c>
      <c r="C16" s="5" t="s">
        <v>107</v>
      </c>
      <c r="D16" s="5" t="s">
        <v>112</v>
      </c>
      <c r="E16" s="6" t="s">
        <v>95</v>
      </c>
      <c r="F16" s="5" t="s">
        <v>99</v>
      </c>
      <c r="G16" s="5"/>
      <c r="H16" s="5"/>
      <c r="I16" s="5"/>
    </row>
    <row r="17" spans="1:9">
      <c r="A17" s="5">
        <v>16</v>
      </c>
      <c r="B17" s="5" t="s">
        <v>87</v>
      </c>
      <c r="C17" s="5" t="s">
        <v>107</v>
      </c>
      <c r="D17" s="5" t="s">
        <v>113</v>
      </c>
      <c r="E17" s="6" t="s">
        <v>40</v>
      </c>
      <c r="F17" s="5"/>
      <c r="G17" s="5"/>
      <c r="H17" s="5"/>
      <c r="I17" s="5"/>
    </row>
    <row r="18" spans="1:9">
      <c r="A18" s="5">
        <v>17</v>
      </c>
      <c r="B18" s="5" t="s">
        <v>114</v>
      </c>
      <c r="C18" s="5" t="s">
        <v>88</v>
      </c>
      <c r="D18" s="5" t="s">
        <v>115</v>
      </c>
      <c r="E18" s="6" t="s">
        <v>90</v>
      </c>
      <c r="F18" s="5"/>
      <c r="G18" s="5"/>
      <c r="H18" s="5"/>
      <c r="I18" s="5"/>
    </row>
    <row r="19" spans="1:9">
      <c r="A19" s="5">
        <v>18</v>
      </c>
      <c r="B19" s="5" t="s">
        <v>114</v>
      </c>
      <c r="C19" s="5" t="s">
        <v>88</v>
      </c>
      <c r="D19" s="5" t="s">
        <v>116</v>
      </c>
      <c r="E19" s="6" t="s">
        <v>90</v>
      </c>
      <c r="F19" s="5"/>
      <c r="G19" s="5"/>
      <c r="H19" s="5"/>
      <c r="I19" s="5"/>
    </row>
    <row r="20" spans="1:9">
      <c r="A20" s="5">
        <v>19</v>
      </c>
      <c r="B20" s="5" t="s">
        <v>114</v>
      </c>
      <c r="C20" s="5" t="s">
        <v>88</v>
      </c>
      <c r="D20" s="5" t="s">
        <v>117</v>
      </c>
      <c r="E20" s="6" t="s">
        <v>90</v>
      </c>
      <c r="F20" s="5"/>
      <c r="G20" s="5"/>
      <c r="H20" s="5"/>
      <c r="I20" s="5"/>
    </row>
    <row r="21" spans="1:9">
      <c r="A21" s="5">
        <v>20</v>
      </c>
      <c r="B21" s="5" t="s">
        <v>114</v>
      </c>
      <c r="C21" s="5" t="s">
        <v>88</v>
      </c>
      <c r="D21" s="5" t="s">
        <v>118</v>
      </c>
      <c r="E21" s="6" t="s">
        <v>90</v>
      </c>
      <c r="F21" s="5"/>
      <c r="G21" s="5"/>
      <c r="H21" s="5"/>
      <c r="I21" s="5"/>
    </row>
    <row r="22" spans="1:9" ht="26">
      <c r="A22" s="5">
        <v>21</v>
      </c>
      <c r="B22" s="5" t="s">
        <v>114</v>
      </c>
      <c r="C22" s="5" t="s">
        <v>88</v>
      </c>
      <c r="D22" s="5" t="s">
        <v>55</v>
      </c>
      <c r="E22" s="6" t="s">
        <v>95</v>
      </c>
      <c r="F22" s="9" t="s">
        <v>97</v>
      </c>
      <c r="G22" s="7"/>
      <c r="H22" s="7"/>
      <c r="I22" s="5"/>
    </row>
    <row r="23" spans="1:9" ht="26">
      <c r="A23" s="5">
        <v>22</v>
      </c>
      <c r="B23" s="5" t="s">
        <v>114</v>
      </c>
      <c r="C23" s="5" t="s">
        <v>88</v>
      </c>
      <c r="D23" s="5" t="s">
        <v>57</v>
      </c>
      <c r="E23" s="6" t="s">
        <v>95</v>
      </c>
      <c r="F23" s="9" t="s">
        <v>98</v>
      </c>
      <c r="G23" s="7"/>
      <c r="H23" s="7"/>
      <c r="I23" s="5"/>
    </row>
    <row r="24" spans="1:9">
      <c r="A24" s="5">
        <v>23</v>
      </c>
      <c r="B24" s="5" t="s">
        <v>114</v>
      </c>
      <c r="C24" s="5" t="s">
        <v>88</v>
      </c>
      <c r="D24" s="5" t="s">
        <v>56</v>
      </c>
      <c r="E24" s="6" t="s">
        <v>95</v>
      </c>
      <c r="F24" s="5" t="s">
        <v>99</v>
      </c>
      <c r="G24" s="5"/>
      <c r="H24" s="5"/>
      <c r="I24" s="5"/>
    </row>
    <row r="25" spans="1:9">
      <c r="A25" s="5">
        <v>24</v>
      </c>
      <c r="B25" s="5" t="s">
        <v>119</v>
      </c>
      <c r="C25" s="5" t="s">
        <v>88</v>
      </c>
      <c r="D25" s="5" t="s">
        <v>120</v>
      </c>
      <c r="E25" s="6" t="s">
        <v>90</v>
      </c>
      <c r="F25" s="5"/>
      <c r="G25" s="5"/>
      <c r="H25" s="5"/>
      <c r="I25" s="5"/>
    </row>
    <row r="26" spans="1:9">
      <c r="A26" s="5">
        <v>25</v>
      </c>
      <c r="B26" s="5" t="s">
        <v>119</v>
      </c>
      <c r="C26" s="5" t="s">
        <v>88</v>
      </c>
      <c r="D26" s="5" t="s">
        <v>121</v>
      </c>
      <c r="E26" s="6" t="s">
        <v>90</v>
      </c>
      <c r="F26" s="5"/>
      <c r="G26" s="5"/>
      <c r="H26" s="5"/>
      <c r="I26" s="5"/>
    </row>
    <row r="27" spans="1:9">
      <c r="A27" s="5">
        <v>26</v>
      </c>
      <c r="B27" s="5" t="s">
        <v>119</v>
      </c>
      <c r="C27" s="5" t="s">
        <v>88</v>
      </c>
      <c r="D27" s="5" t="s">
        <v>118</v>
      </c>
      <c r="E27" s="6" t="s">
        <v>90</v>
      </c>
      <c r="F27" s="5"/>
      <c r="G27" s="5"/>
      <c r="H27" s="5"/>
      <c r="I27" s="5"/>
    </row>
    <row r="28" spans="1:9">
      <c r="A28" s="5">
        <v>27</v>
      </c>
      <c r="B28" s="5" t="s">
        <v>119</v>
      </c>
      <c r="C28" s="5" t="s">
        <v>88</v>
      </c>
      <c r="D28" s="5" t="s">
        <v>117</v>
      </c>
      <c r="E28" s="6" t="s">
        <v>90</v>
      </c>
      <c r="F28" s="5"/>
      <c r="G28" s="5"/>
      <c r="H28" s="5"/>
      <c r="I28" s="5"/>
    </row>
    <row r="29" spans="1:9" ht="26">
      <c r="A29" s="5">
        <v>28</v>
      </c>
      <c r="B29" s="5" t="s">
        <v>119</v>
      </c>
      <c r="C29" s="5" t="s">
        <v>88</v>
      </c>
      <c r="D29" s="5" t="s">
        <v>55</v>
      </c>
      <c r="E29" s="6" t="s">
        <v>95</v>
      </c>
      <c r="F29" s="9" t="s">
        <v>122</v>
      </c>
      <c r="G29" s="7"/>
      <c r="H29" s="7"/>
      <c r="I29" s="5"/>
    </row>
    <row r="30" spans="1:9" ht="26">
      <c r="A30" s="5">
        <v>29</v>
      </c>
      <c r="B30" s="5" t="s">
        <v>119</v>
      </c>
      <c r="C30" s="5" t="s">
        <v>88</v>
      </c>
      <c r="D30" s="5" t="s">
        <v>57</v>
      </c>
      <c r="E30" s="6" t="s">
        <v>95</v>
      </c>
      <c r="F30" s="9" t="s">
        <v>123</v>
      </c>
      <c r="G30" s="7"/>
      <c r="H30" s="7"/>
      <c r="I30" s="5"/>
    </row>
    <row r="31" spans="1:9">
      <c r="A31" s="5">
        <v>30</v>
      </c>
      <c r="B31" s="5" t="s">
        <v>119</v>
      </c>
      <c r="C31" s="5" t="s">
        <v>88</v>
      </c>
      <c r="D31" s="5" t="s">
        <v>56</v>
      </c>
      <c r="E31" s="6" t="s">
        <v>95</v>
      </c>
      <c r="F31" s="5" t="s">
        <v>124</v>
      </c>
      <c r="G31" s="5"/>
      <c r="H31" s="5"/>
      <c r="I31" s="5"/>
    </row>
    <row r="32" spans="1:9">
      <c r="A32" s="5">
        <v>31</v>
      </c>
      <c r="B32" s="5" t="s">
        <v>125</v>
      </c>
      <c r="C32" s="5" t="s">
        <v>126</v>
      </c>
      <c r="D32" s="5" t="s">
        <v>127</v>
      </c>
      <c r="E32" s="6" t="s">
        <v>95</v>
      </c>
      <c r="F32" s="5" t="s">
        <v>128</v>
      </c>
      <c r="G32" s="5"/>
      <c r="H32" s="5"/>
      <c r="I32" s="5"/>
    </row>
    <row r="33" spans="1:9">
      <c r="A33" s="5">
        <v>32</v>
      </c>
      <c r="B33" s="5" t="s">
        <v>125</v>
      </c>
      <c r="C33" s="5" t="s">
        <v>126</v>
      </c>
      <c r="D33" s="5" t="s">
        <v>129</v>
      </c>
      <c r="E33" s="6" t="s">
        <v>95</v>
      </c>
      <c r="F33" s="5" t="s">
        <v>128</v>
      </c>
      <c r="G33" s="5"/>
      <c r="H33" s="5"/>
      <c r="I33" s="5"/>
    </row>
    <row r="34" spans="1:9" ht="26">
      <c r="A34" s="5">
        <v>33</v>
      </c>
      <c r="B34" s="5" t="s">
        <v>125</v>
      </c>
      <c r="C34" s="5" t="s">
        <v>130</v>
      </c>
      <c r="D34" s="5" t="s">
        <v>131</v>
      </c>
      <c r="E34" s="6" t="s">
        <v>40</v>
      </c>
      <c r="F34" s="9" t="s">
        <v>132</v>
      </c>
      <c r="G34" s="7"/>
      <c r="H34" s="7"/>
      <c r="I34" s="5"/>
    </row>
    <row r="35" spans="1:9">
      <c r="A35" s="5">
        <v>34</v>
      </c>
      <c r="B35" s="5" t="s">
        <v>125</v>
      </c>
      <c r="C35" s="5" t="s">
        <v>130</v>
      </c>
      <c r="D35" s="5" t="s">
        <v>133</v>
      </c>
      <c r="E35" s="6" t="s">
        <v>40</v>
      </c>
      <c r="F35" s="5" t="s">
        <v>134</v>
      </c>
      <c r="G35" s="5"/>
      <c r="H35" s="5"/>
      <c r="I35" s="5" t="s">
        <v>135</v>
      </c>
    </row>
    <row r="36" spans="1:9" ht="26">
      <c r="A36" s="5">
        <v>35</v>
      </c>
      <c r="B36" s="5" t="s">
        <v>125</v>
      </c>
      <c r="C36" s="5" t="s">
        <v>130</v>
      </c>
      <c r="D36" s="5" t="s">
        <v>136</v>
      </c>
      <c r="E36" s="6" t="s">
        <v>40</v>
      </c>
      <c r="F36" s="9" t="s">
        <v>137</v>
      </c>
      <c r="G36" s="7"/>
      <c r="H36" s="7"/>
      <c r="I36" s="5"/>
    </row>
    <row r="37" spans="1:9">
      <c r="A37" s="5">
        <v>36</v>
      </c>
      <c r="B37" s="5" t="s">
        <v>125</v>
      </c>
      <c r="C37" s="5" t="s">
        <v>138</v>
      </c>
      <c r="D37" s="5" t="s">
        <v>139</v>
      </c>
      <c r="E37" s="6" t="s">
        <v>40</v>
      </c>
      <c r="F37" s="5"/>
      <c r="G37" s="5"/>
      <c r="H37" s="5"/>
      <c r="I37" s="5"/>
    </row>
    <row r="38" spans="1:9">
      <c r="A38" s="5">
        <v>37</v>
      </c>
      <c r="B38" s="5" t="s">
        <v>125</v>
      </c>
      <c r="C38" s="5" t="s">
        <v>138</v>
      </c>
      <c r="D38" s="5" t="s">
        <v>140</v>
      </c>
      <c r="E38" s="6" t="s">
        <v>95</v>
      </c>
      <c r="F38" s="5" t="s">
        <v>141</v>
      </c>
      <c r="G38" s="5"/>
      <c r="H38" s="5"/>
      <c r="I38" s="5"/>
    </row>
    <row r="39" spans="1:9">
      <c r="A39" s="5">
        <v>38</v>
      </c>
      <c r="B39" s="5" t="s">
        <v>125</v>
      </c>
      <c r="C39" s="5" t="s">
        <v>138</v>
      </c>
      <c r="D39" s="10" t="s">
        <v>142</v>
      </c>
      <c r="E39" s="6" t="s">
        <v>40</v>
      </c>
      <c r="F39" s="5">
        <v>0</v>
      </c>
      <c r="G39" s="5"/>
      <c r="H39" s="5"/>
      <c r="I39" s="5"/>
    </row>
    <row r="40" spans="1:9" ht="26">
      <c r="A40" s="5">
        <v>39</v>
      </c>
      <c r="B40" s="5" t="s">
        <v>125</v>
      </c>
      <c r="C40" s="5" t="s">
        <v>143</v>
      </c>
      <c r="D40" s="5" t="s">
        <v>144</v>
      </c>
      <c r="E40" s="6" t="s">
        <v>40</v>
      </c>
      <c r="F40" s="9" t="s">
        <v>145</v>
      </c>
      <c r="G40" s="7"/>
      <c r="H40" s="7"/>
      <c r="I40" s="5"/>
    </row>
    <row r="41" spans="1:9">
      <c r="A41" s="5">
        <v>40</v>
      </c>
      <c r="B41" s="5" t="s">
        <v>125</v>
      </c>
      <c r="C41" s="5" t="s">
        <v>143</v>
      </c>
      <c r="D41" s="5" t="s">
        <v>146</v>
      </c>
      <c r="E41" s="6" t="s">
        <v>40</v>
      </c>
      <c r="F41" s="5">
        <v>0</v>
      </c>
      <c r="G41" s="5"/>
      <c r="H41" s="5"/>
      <c r="I41" s="5"/>
    </row>
    <row r="42" spans="1:9">
      <c r="A42" s="5">
        <v>41</v>
      </c>
      <c r="B42" s="5" t="s">
        <v>125</v>
      </c>
      <c r="C42" s="5" t="s">
        <v>143</v>
      </c>
      <c r="D42" s="5" t="s">
        <v>147</v>
      </c>
      <c r="E42" s="6" t="s">
        <v>95</v>
      </c>
      <c r="F42" s="5" t="s">
        <v>148</v>
      </c>
      <c r="G42" s="5"/>
      <c r="H42" s="5"/>
      <c r="I42" s="5"/>
    </row>
    <row r="43" spans="1:9">
      <c r="A43" s="5">
        <v>42</v>
      </c>
      <c r="B43" s="5" t="s">
        <v>125</v>
      </c>
      <c r="C43" s="5" t="s">
        <v>143</v>
      </c>
      <c r="D43" s="5" t="s">
        <v>149</v>
      </c>
      <c r="E43" s="6" t="s">
        <v>95</v>
      </c>
      <c r="F43" s="5" t="s">
        <v>148</v>
      </c>
      <c r="G43" s="5"/>
      <c r="H43" s="5"/>
      <c r="I43" s="5"/>
    </row>
    <row r="44" spans="1:9" ht="26">
      <c r="A44" s="5">
        <v>43</v>
      </c>
      <c r="B44" s="5" t="s">
        <v>125</v>
      </c>
      <c r="C44" s="5" t="s">
        <v>143</v>
      </c>
      <c r="D44" s="10" t="s">
        <v>150</v>
      </c>
      <c r="E44" s="6" t="s">
        <v>40</v>
      </c>
      <c r="F44" s="9" t="s">
        <v>151</v>
      </c>
      <c r="G44" s="7"/>
      <c r="H44" s="7"/>
      <c r="I44" s="5"/>
    </row>
    <row r="45" spans="1:9" ht="26">
      <c r="A45" s="5">
        <v>44</v>
      </c>
      <c r="B45" s="5" t="s">
        <v>125</v>
      </c>
      <c r="C45" s="5" t="s">
        <v>143</v>
      </c>
      <c r="D45" s="10" t="s">
        <v>152</v>
      </c>
      <c r="E45" s="6" t="s">
        <v>40</v>
      </c>
      <c r="F45" s="9" t="s">
        <v>153</v>
      </c>
      <c r="G45" s="7"/>
      <c r="H45" s="7"/>
      <c r="I45" s="5"/>
    </row>
    <row r="46" spans="1:9" ht="26">
      <c r="A46" s="5">
        <v>45</v>
      </c>
      <c r="B46" s="11" t="s">
        <v>125</v>
      </c>
      <c r="C46" s="5" t="s">
        <v>154</v>
      </c>
      <c r="D46" s="5" t="s">
        <v>155</v>
      </c>
      <c r="E46" s="6" t="s">
        <v>95</v>
      </c>
      <c r="F46" s="7" t="s">
        <v>156</v>
      </c>
      <c r="G46" s="5"/>
      <c r="H46" s="7"/>
      <c r="I46" s="5"/>
    </row>
    <row r="47" spans="1:9">
      <c r="A47" s="5">
        <v>46</v>
      </c>
      <c r="B47" s="11" t="s">
        <v>125</v>
      </c>
      <c r="C47" s="5" t="s">
        <v>154</v>
      </c>
      <c r="D47" s="5" t="s">
        <v>157</v>
      </c>
      <c r="E47" s="6" t="s">
        <v>40</v>
      </c>
      <c r="F47" s="6" t="s">
        <v>40</v>
      </c>
      <c r="G47" s="5"/>
      <c r="H47" s="7"/>
      <c r="I47" s="5"/>
    </row>
  </sheetData>
  <phoneticPr fontId="21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showGridLines="0" workbookViewId="0">
      <selection activeCell="D15" sqref="D15"/>
    </sheetView>
  </sheetViews>
  <sheetFormatPr defaultColWidth="9" defaultRowHeight="14"/>
  <cols>
    <col min="1" max="1" width="5.08984375" customWidth="1"/>
    <col min="3" max="3" width="26.08984375" customWidth="1"/>
    <col min="5" max="5" width="38.453125" customWidth="1"/>
    <col min="6" max="6" width="14.08984375" customWidth="1"/>
  </cols>
  <sheetData>
    <row r="1" spans="1:6" ht="27" customHeight="1">
      <c r="A1" s="3" t="s">
        <v>36</v>
      </c>
      <c r="B1" s="3" t="s">
        <v>158</v>
      </c>
      <c r="C1" s="3" t="s">
        <v>159</v>
      </c>
      <c r="D1" s="3" t="s">
        <v>160</v>
      </c>
      <c r="E1" s="3" t="s">
        <v>161</v>
      </c>
      <c r="F1" s="3" t="s">
        <v>162</v>
      </c>
    </row>
    <row r="2" spans="1:6" ht="20.149999999999999" customHeight="1">
      <c r="A2" s="2"/>
      <c r="B2" s="2"/>
      <c r="C2" s="2"/>
      <c r="D2" s="2"/>
      <c r="E2" s="2"/>
      <c r="F2" s="2"/>
    </row>
    <row r="3" spans="1:6" ht="20.149999999999999" customHeight="1">
      <c r="A3" s="2"/>
      <c r="B3" s="2"/>
      <c r="C3" s="2"/>
      <c r="D3" s="2"/>
      <c r="E3" s="2"/>
      <c r="F3" s="2"/>
    </row>
    <row r="4" spans="1:6" ht="20.149999999999999" customHeight="1">
      <c r="A4" s="2"/>
      <c r="B4" s="2"/>
      <c r="C4" s="2"/>
      <c r="D4" s="2"/>
      <c r="E4" s="2"/>
      <c r="F4" s="2"/>
    </row>
    <row r="5" spans="1:6" ht="20.149999999999999" customHeight="1">
      <c r="A5" s="2"/>
      <c r="B5" s="2"/>
      <c r="C5" s="2"/>
      <c r="D5" s="2"/>
      <c r="E5" s="2"/>
      <c r="F5" s="2"/>
    </row>
    <row r="6" spans="1:6" ht="20.149999999999999" customHeight="1">
      <c r="A6" s="2"/>
      <c r="B6" s="2"/>
      <c r="C6" s="2"/>
      <c r="D6" s="2"/>
      <c r="E6" s="2"/>
      <c r="F6" s="2"/>
    </row>
    <row r="7" spans="1:6" ht="20.149999999999999" customHeight="1">
      <c r="A7" s="2"/>
      <c r="B7" s="2"/>
      <c r="C7" s="2"/>
      <c r="D7" s="2"/>
      <c r="E7" s="2"/>
      <c r="F7" s="2"/>
    </row>
    <row r="8" spans="1:6" ht="20.149999999999999" customHeight="1">
      <c r="A8" s="2"/>
      <c r="B8" s="2"/>
      <c r="C8" s="2"/>
      <c r="D8" s="2"/>
      <c r="E8" s="2"/>
      <c r="F8" s="2"/>
    </row>
    <row r="9" spans="1:6" ht="20.149999999999999" customHeight="1">
      <c r="A9" s="2"/>
      <c r="B9" s="2"/>
      <c r="C9" s="2"/>
      <c r="D9" s="2"/>
      <c r="E9" s="2"/>
      <c r="F9" s="2"/>
    </row>
    <row r="10" spans="1:6" ht="20.149999999999999" customHeight="1">
      <c r="A10" s="2"/>
      <c r="B10" s="2"/>
      <c r="C10" s="2"/>
      <c r="D10" s="2"/>
      <c r="E10" s="2"/>
      <c r="F10" s="2"/>
    </row>
    <row r="11" spans="1:6" ht="20.149999999999999" customHeight="1">
      <c r="A11" s="2"/>
      <c r="B11" s="2"/>
      <c r="C11" s="2"/>
      <c r="D11" s="2"/>
      <c r="E11" s="2"/>
      <c r="F11" s="2"/>
    </row>
  </sheetData>
  <phoneticPr fontId="2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封面</vt:lpstr>
      <vt:lpstr>概述</vt:lpstr>
      <vt:lpstr>单交易测试结果</vt:lpstr>
      <vt:lpstr>混合联机（容量）测试结果</vt:lpstr>
      <vt:lpstr>测试趋势图</vt:lpstr>
      <vt:lpstr>稳定性测试结果</vt:lpstr>
      <vt:lpstr>批处理测试结果</vt:lpstr>
      <vt:lpstr>量化指标汇总</vt:lpstr>
      <vt:lpstr>缺陷清单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zhangfeng</cp:lastModifiedBy>
  <dcterms:created xsi:type="dcterms:W3CDTF">2015-06-19T03:08:00Z</dcterms:created>
  <dcterms:modified xsi:type="dcterms:W3CDTF">2021-04-21T02:01:32Z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2052-10.8.0.5603</vt:lpwstr>
  </property>
</Properties>
</file>