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f202981\Desktop\"/>
    </mc:Choice>
  </mc:AlternateContent>
  <bookViews>
    <workbookView xWindow="0" yWindow="0" windowWidth="20460" windowHeight="7140"/>
  </bookViews>
  <sheets>
    <sheet name="评审问题记录" sheetId="2" r:id="rId1"/>
    <sheet name="测试用例评审检查表" sheetId="1" r:id="rId2"/>
  </sheets>
  <definedNames>
    <definedName name="_xlnm.Print_Area" localSheetId="1">测试用例评审检查表!$B$1:$G$21</definedName>
    <definedName name="_xlnm.Print_Area" localSheetId="0">评审问题记录!$A$1:$K$20</definedName>
    <definedName name="Z_DF85225E_7924_4DFE_BE34_42492B9E2F35_.wvu.Cols" localSheetId="1" hidden="1">测试用例评审检查表!$G:$G</definedName>
    <definedName name="Z_DF85225E_7924_4DFE_BE34_42492B9E2F35_.wvu.Cols" localSheetId="0" hidden="1">评审问题记录!$K:$K</definedName>
    <definedName name="Z_DF85225E_7924_4DFE_BE34_42492B9E2F35_.wvu.PrintArea" localSheetId="1" hidden="1">测试用例评审检查表!$B$1:$G$21</definedName>
    <definedName name="Z_DF85225E_7924_4DFE_BE34_42492B9E2F35_.wvu.PrintArea" localSheetId="0" hidden="1">评审问题记录!$A$1:$K$20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C21" i="2"/>
  <c r="B7" i="2" s="1"/>
  <c r="K129" i="2" l="1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</calcChain>
</file>

<file path=xl/sharedStrings.xml><?xml version="1.0" encoding="utf-8"?>
<sst xmlns="http://schemas.openxmlformats.org/spreadsheetml/2006/main" count="49" uniqueCount="49">
  <si>
    <t>用例评审检查表</t>
    <phoneticPr fontId="4" type="noConversion"/>
  </si>
  <si>
    <t>序号</t>
    <phoneticPr fontId="4" type="noConversion"/>
  </si>
  <si>
    <t>检查项</t>
    <phoneticPr fontId="4" type="noConversion"/>
  </si>
  <si>
    <t>结果</t>
    <phoneticPr fontId="4" type="noConversion"/>
  </si>
  <si>
    <t>使用规范模板</t>
  </si>
  <si>
    <t>用例具有可执行性</t>
  </si>
  <si>
    <t>用例与被测版本一致</t>
  </si>
  <si>
    <t>正反用例配比要求</t>
  </si>
  <si>
    <t>覆盖所有用户故事</t>
    <phoneticPr fontId="4" type="noConversion"/>
  </si>
  <si>
    <t>拥有唯一的用例编号</t>
    <phoneticPr fontId="4" type="noConversion"/>
  </si>
  <si>
    <t>正确关联了用户需求</t>
    <phoneticPr fontId="4" type="noConversion"/>
  </si>
  <si>
    <t>前提条件无遗漏并参考了测试计划中的约束</t>
  </si>
  <si>
    <t>测试名称具有可读性且唯一</t>
  </si>
  <si>
    <t>测试步骤清晰具有可读性</t>
  </si>
  <si>
    <t>反用例是否有效</t>
  </si>
  <si>
    <t>拥有多条件复合场景用例</t>
  </si>
  <si>
    <t>预期结果准确</t>
  </si>
  <si>
    <t>用例重要程度合理</t>
  </si>
  <si>
    <t>用例测试环境与测试计划指定的环境一致</t>
  </si>
  <si>
    <t>测试数据与测试计划指定的数据准备方案一致</t>
  </si>
  <si>
    <t>测试用例考虑了边界、越界及极限的测试数据</t>
  </si>
  <si>
    <t>测试用例无冗余</t>
  </si>
  <si>
    <t>其他</t>
  </si>
  <si>
    <t>评审对象</t>
  </si>
  <si>
    <t>参评人员列表</t>
    <phoneticPr fontId="4" type="noConversion"/>
  </si>
  <si>
    <t>评审日期</t>
    <phoneticPr fontId="4" type="noConversion"/>
  </si>
  <si>
    <t>评审形式</t>
    <phoneticPr fontId="4" type="noConversion"/>
  </si>
  <si>
    <t>按团队/组列出参评人员</t>
    <phoneticPr fontId="4" type="noConversion"/>
  </si>
  <si>
    <t>评审组织者</t>
    <phoneticPr fontId="4" type="noConversion"/>
  </si>
  <si>
    <t>规模（用例条数）</t>
  </si>
  <si>
    <t>参审人数</t>
  </si>
  <si>
    <t>测试任务名称</t>
  </si>
  <si>
    <t>评审意见与结论</t>
    <phoneticPr fontId="4" type="noConversion"/>
  </si>
  <si>
    <t>评审问题明细及跟踪</t>
  </si>
  <si>
    <t>位置/用例编号</t>
  </si>
  <si>
    <t>级别</t>
  </si>
  <si>
    <t>描述</t>
  </si>
  <si>
    <t>发现人</t>
  </si>
  <si>
    <t>问题状态</t>
  </si>
  <si>
    <t>问题引入</t>
  </si>
  <si>
    <t>跟踪人</t>
  </si>
  <si>
    <t>修改说明</t>
  </si>
  <si>
    <t>测试用例评审表</t>
    <phoneticPr fontId="3" type="noConversion"/>
  </si>
  <si>
    <t>问题统计：</t>
    <phoneticPr fontId="3" type="noConversion"/>
  </si>
  <si>
    <r>
      <t xml:space="preserve">
</t>
    </r>
    <r>
      <rPr>
        <b/>
        <sz val="11"/>
        <color rgb="FF0070C0"/>
        <rFont val="彩虹小标宋"/>
        <charset val="134"/>
      </rPr>
      <t>合计问题数：</t>
    </r>
    <phoneticPr fontId="3" type="noConversion"/>
  </si>
  <si>
    <r>
      <t xml:space="preserve">
</t>
    </r>
    <r>
      <rPr>
        <b/>
        <sz val="11"/>
        <color rgb="FF0070C0"/>
        <rFont val="彩虹小标宋"/>
        <charset val="134"/>
      </rPr>
      <t>严重：</t>
    </r>
    <r>
      <rPr>
        <sz val="11"/>
        <rFont val="彩虹小标宋"/>
        <charset val="134"/>
      </rPr>
      <t xml:space="preserve">XX个；             </t>
    </r>
    <r>
      <rPr>
        <b/>
        <sz val="11"/>
        <color rgb="FF0070C0"/>
        <rFont val="彩虹小标宋"/>
        <charset val="134"/>
      </rPr>
      <t>一般：</t>
    </r>
    <r>
      <rPr>
        <sz val="11"/>
        <rFont val="彩虹小标宋"/>
        <charset val="134"/>
      </rPr>
      <t xml:space="preserve">XX个；              </t>
    </r>
    <r>
      <rPr>
        <sz val="11"/>
        <color rgb="FF0070C0"/>
        <rFont val="彩虹小标宋"/>
        <charset val="134"/>
      </rPr>
      <t xml:space="preserve">  </t>
    </r>
    <r>
      <rPr>
        <b/>
        <sz val="11"/>
        <color rgb="FF0070C0"/>
        <rFont val="彩虹小标宋"/>
        <charset val="134"/>
      </rPr>
      <t>轻微</t>
    </r>
    <r>
      <rPr>
        <sz val="11"/>
        <color rgb="FF0070C0"/>
        <rFont val="彩虹小标宋"/>
        <charset val="134"/>
      </rPr>
      <t>：</t>
    </r>
    <r>
      <rPr>
        <sz val="11"/>
        <rFont val="彩虹小标宋"/>
        <charset val="134"/>
      </rPr>
      <t>XX个。</t>
    </r>
    <phoneticPr fontId="3" type="noConversion"/>
  </si>
  <si>
    <t>缺陷密度</t>
  </si>
  <si>
    <t>评审效率</t>
  </si>
  <si>
    <t>评审时长（h）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</si>
</sst>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134"/>
      <scheme val="minor"/>
    </font>
    <font>
      <sz val="12"/>
      <name val="宋体"/>
      <family val="3"/>
      <charset val="134"/>
    </font>
    <font>
      <b/>
      <sz val="18"/>
      <name val="微软雅黑"/>
      <family val="2"/>
      <charset val="134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  <font>
      <sz val="12"/>
      <name val="彩虹小标宋"/>
      <charset val="134"/>
    </font>
    <font>
      <sz val="8"/>
      <name val="彩虹小标宋"/>
      <charset val="134"/>
    </font>
    <font>
      <b/>
      <sz val="11"/>
      <name val="微软雅黑"/>
      <family val="2"/>
      <charset val="134"/>
    </font>
    <font>
      <sz val="11"/>
      <name val="彩虹小标宋"/>
      <charset val="134"/>
    </font>
    <font>
      <sz val="11"/>
      <name val="微软雅黑"/>
      <family val="2"/>
      <charset val="134"/>
    </font>
    <font>
      <b/>
      <i/>
      <sz val="11"/>
      <color rgb="FF0070C0"/>
      <name val="微软雅黑"/>
      <family val="2"/>
      <charset val="134"/>
    </font>
    <font>
      <b/>
      <sz val="16"/>
      <name val="微软雅黑"/>
      <family val="2"/>
      <charset val="134"/>
    </font>
    <font>
      <b/>
      <sz val="11"/>
      <name val="彩虹小标宋"/>
      <charset val="134"/>
    </font>
    <font>
      <b/>
      <sz val="11"/>
      <color rgb="FF0070C0"/>
      <name val="彩虹小标宋"/>
      <charset val="134"/>
    </font>
    <font>
      <sz val="11"/>
      <color rgb="FF0070C0"/>
      <name val="彩虹小标宋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5" fillId="2" borderId="0" xfId="1" applyFont="1" applyFill="1" applyBorder="1" applyAlignment="1" applyProtection="1">
      <alignment wrapText="1"/>
      <protection locked="0"/>
    </xf>
    <xf numFmtId="0" fontId="6" fillId="2" borderId="0" xfId="1" applyFont="1" applyFill="1" applyBorder="1" applyAlignment="1" applyProtection="1">
      <alignment wrapText="1"/>
      <protection locked="0"/>
    </xf>
    <xf numFmtId="0" fontId="5" fillId="2" borderId="0" xfId="1" applyFont="1" applyFill="1" applyBorder="1" applyAlignment="1" applyProtection="1">
      <alignment vertical="center" wrapText="1"/>
      <protection locked="0"/>
    </xf>
    <xf numFmtId="0" fontId="5" fillId="0" borderId="0" xfId="1" applyFont="1" applyAlignment="1" applyProtection="1">
      <alignment vertical="center" wrapText="1"/>
      <protection locked="0"/>
    </xf>
    <xf numFmtId="0" fontId="5" fillId="2" borderId="0" xfId="1" applyFont="1" applyFill="1" applyAlignment="1" applyProtection="1">
      <alignment wrapText="1"/>
      <protection locked="0"/>
    </xf>
    <xf numFmtId="0" fontId="7" fillId="3" borderId="2" xfId="2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Protection="1">
      <protection locked="0"/>
    </xf>
    <xf numFmtId="0" fontId="8" fillId="0" borderId="2" xfId="1" applyFont="1" applyFill="1" applyBorder="1" applyAlignment="1" applyProtection="1">
      <alignment horizontal="center"/>
      <protection locked="0"/>
    </xf>
    <xf numFmtId="0" fontId="9" fillId="2" borderId="3" xfId="2" applyFont="1" applyFill="1" applyBorder="1" applyProtection="1">
      <alignment vertical="center"/>
      <protection locked="0"/>
    </xf>
    <xf numFmtId="0" fontId="8" fillId="2" borderId="2" xfId="1" applyFont="1" applyFill="1" applyBorder="1" applyProtection="1">
      <protection locked="0"/>
    </xf>
    <xf numFmtId="0" fontId="8" fillId="0" borderId="0" xfId="2" applyFont="1" applyFill="1" applyAlignment="1" applyProtection="1">
      <alignment vertical="top" wrapText="1"/>
      <protection locked="0"/>
    </xf>
    <xf numFmtId="0" fontId="8" fillId="2" borderId="0" xfId="2" applyFont="1" applyFill="1" applyBorder="1" applyAlignment="1" applyProtection="1">
      <alignment vertical="top" wrapText="1"/>
      <protection locked="0"/>
    </xf>
    <xf numFmtId="0" fontId="8" fillId="2" borderId="0" xfId="1" applyFont="1" applyFill="1" applyBorder="1" applyProtection="1">
      <protection locked="0"/>
    </xf>
    <xf numFmtId="0" fontId="7" fillId="3" borderId="2" xfId="1" applyFont="1" applyFill="1" applyBorder="1" applyAlignment="1" applyProtection="1">
      <alignment horizontal="center" vertical="top" wrapText="1"/>
      <protection locked="0"/>
    </xf>
    <xf numFmtId="0" fontId="9" fillId="2" borderId="4" xfId="1" applyFont="1" applyFill="1" applyBorder="1" applyAlignment="1" applyProtection="1">
      <protection locked="0"/>
    </xf>
    <xf numFmtId="0" fontId="9" fillId="2" borderId="3" xfId="1" applyFont="1" applyFill="1" applyBorder="1" applyAlignment="1" applyProtection="1">
      <protection locked="0"/>
    </xf>
    <xf numFmtId="0" fontId="9" fillId="2" borderId="2" xfId="1" applyFont="1" applyFill="1" applyBorder="1" applyAlignment="1" applyProtection="1">
      <protection locked="0"/>
    </xf>
    <xf numFmtId="0" fontId="8" fillId="2" borderId="0" xfId="1" applyFont="1" applyFill="1" applyBorder="1" applyAlignment="1" applyProtection="1">
      <alignment wrapText="1"/>
      <protection locked="0"/>
    </xf>
    <xf numFmtId="0" fontId="8" fillId="0" borderId="0" xfId="1" applyFont="1" applyFill="1" applyAlignment="1" applyProtection="1">
      <alignment wrapText="1"/>
      <protection locked="0"/>
    </xf>
    <xf numFmtId="0" fontId="7" fillId="3" borderId="2" xfId="1" applyFont="1" applyFill="1" applyBorder="1" applyAlignment="1" applyProtection="1">
      <alignment horizontal="center" vertical="center" wrapText="1"/>
      <protection locked="0"/>
    </xf>
    <xf numFmtId="0" fontId="7" fillId="3" borderId="4" xfId="1" applyFont="1" applyFill="1" applyBorder="1" applyAlignment="1" applyProtection="1">
      <alignment horizontal="center" vertical="center" wrapText="1"/>
      <protection locked="0"/>
    </xf>
    <xf numFmtId="0" fontId="9" fillId="2" borderId="2" xfId="2" applyFont="1" applyFill="1" applyBorder="1" applyAlignment="1" applyProtection="1">
      <alignment horizontal="left" vertical="center" wrapText="1"/>
      <protection locked="0"/>
    </xf>
    <xf numFmtId="0" fontId="8" fillId="2" borderId="0" xfId="2" applyFont="1" applyFill="1" applyBorder="1" applyAlignment="1" applyProtection="1">
      <alignment horizontal="center" vertical="top" wrapText="1"/>
      <protection locked="0"/>
    </xf>
    <xf numFmtId="0" fontId="8" fillId="0" borderId="0" xfId="2" applyFont="1" applyFill="1" applyAlignment="1" applyProtection="1">
      <alignment horizontal="center" vertical="top" wrapText="1"/>
      <protection locked="0"/>
    </xf>
    <xf numFmtId="0" fontId="9" fillId="2" borderId="2" xfId="1" applyFont="1" applyFill="1" applyBorder="1" applyAlignment="1" applyProtection="1">
      <alignment wrapText="1"/>
      <protection locked="0"/>
    </xf>
    <xf numFmtId="0" fontId="12" fillId="2" borderId="4" xfId="2" applyFont="1" applyFill="1" applyBorder="1" applyAlignment="1" applyProtection="1">
      <alignment vertical="top" wrapText="1"/>
      <protection locked="0"/>
    </xf>
    <xf numFmtId="0" fontId="11" fillId="2" borderId="4" xfId="2" applyFont="1" applyFill="1" applyBorder="1" applyAlignment="1" applyProtection="1">
      <alignment horizontal="center" vertical="top" wrapText="1"/>
      <protection locked="0"/>
    </xf>
    <xf numFmtId="0" fontId="11" fillId="2" borderId="5" xfId="2" applyFont="1" applyFill="1" applyBorder="1" applyAlignment="1" applyProtection="1">
      <alignment horizontal="center" vertical="top" wrapText="1"/>
      <protection locked="0"/>
    </xf>
    <xf numFmtId="0" fontId="11" fillId="2" borderId="3" xfId="2" applyFont="1" applyFill="1" applyBorder="1" applyAlignment="1" applyProtection="1">
      <alignment horizontal="center" vertical="top" wrapText="1"/>
      <protection locked="0"/>
    </xf>
    <xf numFmtId="0" fontId="8" fillId="2" borderId="4" xfId="2" applyFont="1" applyFill="1" applyBorder="1" applyAlignment="1" applyProtection="1">
      <alignment horizontal="center" vertical="top" wrapText="1"/>
      <protection locked="0"/>
    </xf>
    <xf numFmtId="0" fontId="8" fillId="2" borderId="5" xfId="2" applyFont="1" applyFill="1" applyBorder="1" applyAlignment="1" applyProtection="1">
      <alignment horizontal="center" vertical="top" wrapText="1"/>
      <protection locked="0"/>
    </xf>
    <xf numFmtId="0" fontId="8" fillId="2" borderId="3" xfId="2" applyFont="1" applyFill="1" applyBorder="1" applyAlignment="1" applyProtection="1">
      <alignment horizontal="center" vertical="top" wrapText="1"/>
      <protection locked="0"/>
    </xf>
    <xf numFmtId="0" fontId="2" fillId="2" borderId="2" xfId="1" applyFont="1" applyFill="1" applyBorder="1" applyAlignment="1" applyProtection="1">
      <alignment horizontal="center" vertical="center"/>
      <protection locked="0"/>
    </xf>
    <xf numFmtId="0" fontId="7" fillId="3" borderId="4" xfId="1" applyFont="1" applyFill="1" applyBorder="1" applyAlignment="1" applyProtection="1">
      <alignment horizontal="center" vertical="top" wrapText="1"/>
      <protection locked="0"/>
    </xf>
    <xf numFmtId="0" fontId="7" fillId="3" borderId="5" xfId="1" applyFont="1" applyFill="1" applyBorder="1" applyAlignment="1" applyProtection="1">
      <alignment horizontal="center" vertical="top" wrapText="1"/>
      <protection locked="0"/>
    </xf>
    <xf numFmtId="0" fontId="7" fillId="3" borderId="3" xfId="1" applyFont="1" applyFill="1" applyBorder="1" applyAlignment="1" applyProtection="1">
      <alignment horizontal="center" vertical="top" wrapText="1"/>
      <protection locked="0"/>
    </xf>
    <xf numFmtId="0" fontId="10" fillId="4" borderId="6" xfId="1" applyFont="1" applyFill="1" applyBorder="1" applyAlignment="1" applyProtection="1">
      <alignment horizontal="center" vertical="top" wrapText="1"/>
      <protection locked="0"/>
    </xf>
    <xf numFmtId="0" fontId="10" fillId="4" borderId="7" xfId="1" applyFont="1" applyFill="1" applyBorder="1" applyAlignment="1" applyProtection="1">
      <alignment horizontal="center" vertical="top" wrapText="1"/>
      <protection locked="0"/>
    </xf>
    <xf numFmtId="0" fontId="10" fillId="4" borderId="8" xfId="1" applyFont="1" applyFill="1" applyBorder="1" applyAlignment="1" applyProtection="1">
      <alignment horizontal="center" vertical="top" wrapText="1"/>
      <protection locked="0"/>
    </xf>
    <xf numFmtId="0" fontId="10" fillId="4" borderId="9" xfId="1" applyFont="1" applyFill="1" applyBorder="1" applyAlignment="1" applyProtection="1">
      <alignment horizontal="center" vertical="top" wrapText="1"/>
      <protection locked="0"/>
    </xf>
    <xf numFmtId="0" fontId="10" fillId="4" borderId="0" xfId="1" applyFont="1" applyFill="1" applyBorder="1" applyAlignment="1" applyProtection="1">
      <alignment horizontal="center" vertical="top" wrapText="1"/>
      <protection locked="0"/>
    </xf>
    <xf numFmtId="0" fontId="10" fillId="4" borderId="10" xfId="1" applyFont="1" applyFill="1" applyBorder="1" applyAlignment="1" applyProtection="1">
      <alignment horizontal="center" vertical="top" wrapText="1"/>
      <protection locked="0"/>
    </xf>
    <xf numFmtId="0" fontId="10" fillId="4" borderId="11" xfId="1" applyFont="1" applyFill="1" applyBorder="1" applyAlignment="1" applyProtection="1">
      <alignment horizontal="center" vertical="top" wrapText="1"/>
      <protection locked="0"/>
    </xf>
    <xf numFmtId="0" fontId="10" fillId="4" borderId="1" xfId="1" applyFont="1" applyFill="1" applyBorder="1" applyAlignment="1" applyProtection="1">
      <alignment horizontal="center" vertical="top" wrapText="1"/>
      <protection locked="0"/>
    </xf>
    <xf numFmtId="0" fontId="10" fillId="4" borderId="12" xfId="1" applyFont="1" applyFill="1" applyBorder="1" applyAlignment="1" applyProtection="1">
      <alignment horizontal="center" vertical="top" wrapText="1"/>
      <protection locked="0"/>
    </xf>
    <xf numFmtId="0" fontId="9" fillId="2" borderId="2" xfId="1" applyFont="1" applyFill="1" applyBorder="1" applyAlignment="1" applyProtection="1">
      <alignment horizontal="center"/>
      <protection locked="0"/>
    </xf>
    <xf numFmtId="0" fontId="7" fillId="3" borderId="4" xfId="1" applyFont="1" applyFill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  <xf numFmtId="0" fontId="9" fillId="2" borderId="4" xfId="2" applyFont="1" applyFill="1" applyBorder="1" applyAlignment="1" applyProtection="1">
      <alignment horizontal="left" vertical="center" wrapText="1"/>
      <protection locked="0"/>
    </xf>
    <xf numFmtId="0" fontId="9" fillId="2" borderId="3" xfId="2" applyFont="1" applyFill="1" applyBorder="1" applyAlignment="1" applyProtection="1">
      <alignment horizontal="left" vertical="center" wrapText="1"/>
      <protection locked="0"/>
    </xf>
    <xf numFmtId="0" fontId="9" fillId="2" borderId="2" xfId="2" applyFont="1" applyFill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8" fillId="2" borderId="2" xfId="2" applyFont="1" applyFill="1" applyBorder="1" applyAlignment="1" applyProtection="1">
      <alignment vertical="top" wrapText="1"/>
      <protection locked="0"/>
    </xf>
    <xf numFmtId="0" fontId="8" fillId="2" borderId="2" xfId="2" applyFont="1" applyFill="1" applyBorder="1" applyAlignment="1" applyProtection="1">
      <alignment horizontal="center" vertical="center" wrapText="1"/>
      <protection locked="0"/>
    </xf>
    <xf numFmtId="2" fontId="9" fillId="2" borderId="4" xfId="1" applyNumberFormat="1" applyFont="1" applyFill="1" applyBorder="1" applyAlignment="1" applyProtection="1">
      <protection locked="0"/>
    </xf>
    <xf numFmtId="2" fontId="9" fillId="2" borderId="3" xfId="1" applyNumberFormat="1" applyFont="1" applyFill="1" applyBorder="1" applyAlignment="1" applyProtection="1">
      <protection locked="0"/>
    </xf>
  </cellXfs>
  <cellStyles count="3">
    <cellStyle name="??" xfId="1"/>
    <cellStyle name="Normal" xfId="0" builtinId="0"/>
    <cellStyle name="常规_QM01T02同行评审总结报告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9"/>
  <sheetViews>
    <sheetView showGridLines="0" tabSelected="1" zoomScale="90" zoomScaleNormal="90" workbookViewId="0">
      <selection activeCell="A9" sqref="A9:J9"/>
    </sheetView>
  </sheetViews>
  <sheetFormatPr defaultColWidth="9" defaultRowHeight="14"/>
  <cols>
    <col min="1" max="1" width="14.36328125" style="12" customWidth="1"/>
    <col min="2" max="2" width="22.08984375" style="12" customWidth="1"/>
    <col min="3" max="3" width="20.08984375" style="12" customWidth="1"/>
    <col min="4" max="4" width="42.08984375" style="12" customWidth="1"/>
    <col min="5" max="5" width="14.453125" style="12" customWidth="1"/>
    <col min="6" max="6" width="11.36328125" style="12" customWidth="1"/>
    <col min="7" max="7" width="12.36328125" style="12" customWidth="1"/>
    <col min="8" max="8" width="9.453125" style="12" customWidth="1"/>
    <col min="9" max="9" width="7.08984375" style="12" customWidth="1"/>
    <col min="10" max="10" width="17.7265625" style="12" customWidth="1"/>
    <col min="11" max="11" width="0.26953125" style="12" customWidth="1"/>
    <col min="12" max="12" width="9.453125" style="11" customWidth="1"/>
    <col min="13" max="13" width="10.90625" style="11" customWidth="1"/>
    <col min="14" max="37" width="9" style="11"/>
    <col min="38" max="38" width="5.453125" style="11" customWidth="1"/>
    <col min="39" max="16384" width="9" style="11"/>
  </cols>
  <sheetData>
    <row r="1" spans="1:13" s="5" customFormat="1" ht="40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3"/>
      <c r="M1" s="4"/>
    </row>
    <row r="2" spans="1:13" s="7" customFormat="1" ht="37.5" customHeight="1">
      <c r="A2" s="33" t="s">
        <v>42</v>
      </c>
      <c r="B2" s="33"/>
      <c r="C2" s="33"/>
      <c r="D2" s="33"/>
      <c r="E2" s="33"/>
      <c r="F2" s="33"/>
      <c r="G2" s="33"/>
      <c r="H2" s="33"/>
      <c r="I2" s="33"/>
      <c r="J2" s="33"/>
      <c r="K2" s="13"/>
    </row>
    <row r="3" spans="1:13" s="7" customFormat="1" ht="20.149999999999999" customHeight="1">
      <c r="A3" s="14" t="s">
        <v>23</v>
      </c>
      <c r="B3" s="25"/>
      <c r="C3" s="14" t="s">
        <v>31</v>
      </c>
      <c r="D3" s="25"/>
      <c r="E3" s="34" t="s">
        <v>24</v>
      </c>
      <c r="F3" s="35"/>
      <c r="G3" s="35"/>
      <c r="H3" s="35"/>
      <c r="I3" s="35"/>
      <c r="J3" s="36"/>
      <c r="K3" s="13"/>
    </row>
    <row r="4" spans="1:13" s="7" customFormat="1" ht="20.149999999999999" customHeight="1">
      <c r="A4" s="14" t="s">
        <v>25</v>
      </c>
      <c r="B4" s="15"/>
      <c r="C4" s="14" t="s">
        <v>26</v>
      </c>
      <c r="D4" s="16"/>
      <c r="E4" s="37" t="s">
        <v>27</v>
      </c>
      <c r="F4" s="38"/>
      <c r="G4" s="38"/>
      <c r="H4" s="38"/>
      <c r="I4" s="38"/>
      <c r="J4" s="39"/>
      <c r="K4" s="13"/>
    </row>
    <row r="5" spans="1:13" s="7" customFormat="1" ht="20.149999999999999" customHeight="1">
      <c r="A5" s="14" t="s">
        <v>28</v>
      </c>
      <c r="B5" s="17"/>
      <c r="C5" s="14" t="s">
        <v>29</v>
      </c>
      <c r="D5" s="17"/>
      <c r="E5" s="40"/>
      <c r="F5" s="41"/>
      <c r="G5" s="41"/>
      <c r="H5" s="41"/>
      <c r="I5" s="41"/>
      <c r="J5" s="42"/>
      <c r="K5" s="13"/>
    </row>
    <row r="6" spans="1:13" s="19" customFormat="1" ht="20.149999999999999" customHeight="1">
      <c r="A6" s="14" t="s">
        <v>30</v>
      </c>
      <c r="B6" s="15"/>
      <c r="C6" s="20" t="s">
        <v>48</v>
      </c>
      <c r="D6" s="16"/>
      <c r="E6" s="40"/>
      <c r="F6" s="41"/>
      <c r="G6" s="41"/>
      <c r="H6" s="41"/>
      <c r="I6" s="41"/>
      <c r="J6" s="42"/>
      <c r="K6" s="18"/>
    </row>
    <row r="7" spans="1:13" s="19" customFormat="1" ht="20.149999999999999" customHeight="1">
      <c r="A7" s="14" t="s">
        <v>46</v>
      </c>
      <c r="B7" s="55" t="e">
        <f>C21/D5</f>
        <v>#DIV/0!</v>
      </c>
      <c r="C7" s="20" t="s">
        <v>47</v>
      </c>
      <c r="D7" s="56" t="e">
        <f>D5/((B6*D6)/8)</f>
        <v>#DIV/0!</v>
      </c>
      <c r="E7" s="40"/>
      <c r="F7" s="41"/>
      <c r="G7" s="41"/>
      <c r="H7" s="41"/>
      <c r="I7" s="41"/>
      <c r="J7" s="42"/>
      <c r="K7" s="18"/>
    </row>
    <row r="8" spans="1:13" s="19" customFormat="1" ht="42.75" customHeight="1">
      <c r="A8" s="20" t="s">
        <v>32</v>
      </c>
      <c r="B8" s="46"/>
      <c r="C8" s="46"/>
      <c r="D8" s="46"/>
      <c r="E8" s="43"/>
      <c r="F8" s="44"/>
      <c r="G8" s="44"/>
      <c r="H8" s="44"/>
      <c r="I8" s="44"/>
      <c r="J8" s="45"/>
      <c r="K8" s="18"/>
    </row>
    <row r="9" spans="1:13" s="7" customFormat="1" ht="27.75" customHeight="1">
      <c r="A9" s="27" t="s">
        <v>33</v>
      </c>
      <c r="B9" s="28"/>
      <c r="C9" s="28"/>
      <c r="D9" s="28"/>
      <c r="E9" s="28"/>
      <c r="F9" s="28"/>
      <c r="G9" s="28"/>
      <c r="H9" s="28"/>
      <c r="I9" s="28"/>
      <c r="J9" s="29"/>
      <c r="K9" s="13"/>
    </row>
    <row r="10" spans="1:13" s="7" customFormat="1" ht="33.75" customHeight="1">
      <c r="A10" s="47" t="s">
        <v>34</v>
      </c>
      <c r="B10" s="48"/>
      <c r="C10" s="20" t="s">
        <v>35</v>
      </c>
      <c r="D10" s="20" t="s">
        <v>36</v>
      </c>
      <c r="E10" s="20" t="s">
        <v>37</v>
      </c>
      <c r="F10" s="20" t="s">
        <v>38</v>
      </c>
      <c r="G10" s="20" t="s">
        <v>39</v>
      </c>
      <c r="H10" s="21" t="s">
        <v>40</v>
      </c>
      <c r="I10" s="47" t="s">
        <v>41</v>
      </c>
      <c r="J10" s="48"/>
      <c r="K10" s="13"/>
    </row>
    <row r="11" spans="1:13" ht="20.149999999999999" customHeight="1">
      <c r="A11" s="49"/>
      <c r="B11" s="50"/>
      <c r="C11" s="22"/>
      <c r="D11" s="22"/>
      <c r="E11" s="22"/>
      <c r="F11" s="22"/>
      <c r="G11" s="22"/>
      <c r="H11" s="22"/>
      <c r="I11" s="51"/>
      <c r="J11" s="51"/>
    </row>
    <row r="12" spans="1:13" s="24" customFormat="1" ht="20.149999999999999" customHeight="1">
      <c r="A12" s="49"/>
      <c r="B12" s="50"/>
      <c r="C12" s="22"/>
      <c r="D12" s="22"/>
      <c r="E12" s="22"/>
      <c r="F12" s="22"/>
      <c r="G12" s="22"/>
      <c r="H12" s="22"/>
      <c r="I12" s="51"/>
      <c r="J12" s="51"/>
      <c r="K12" s="23"/>
    </row>
    <row r="13" spans="1:13" ht="20.149999999999999" customHeight="1">
      <c r="A13" s="49"/>
      <c r="B13" s="50"/>
      <c r="C13" s="22"/>
      <c r="D13" s="22"/>
      <c r="E13" s="22"/>
      <c r="F13" s="22"/>
      <c r="G13" s="22"/>
      <c r="H13" s="22"/>
      <c r="I13" s="51"/>
      <c r="J13" s="51"/>
      <c r="K13" s="12" t="str">
        <f t="shared" ref="K13:K20" si="0">CONCATENATE(G11,C11)</f>
        <v/>
      </c>
    </row>
    <row r="14" spans="1:13" ht="20.149999999999999" customHeight="1">
      <c r="A14" s="49"/>
      <c r="B14" s="50"/>
      <c r="C14" s="22"/>
      <c r="D14" s="22"/>
      <c r="E14" s="22"/>
      <c r="F14" s="22"/>
      <c r="G14" s="22"/>
      <c r="H14" s="22"/>
      <c r="I14" s="51"/>
      <c r="J14" s="51"/>
      <c r="K14" s="12" t="str">
        <f t="shared" si="0"/>
        <v/>
      </c>
    </row>
    <row r="15" spans="1:13" ht="20.149999999999999" customHeight="1">
      <c r="A15" s="49"/>
      <c r="B15" s="50"/>
      <c r="C15" s="22"/>
      <c r="D15" s="22"/>
      <c r="E15" s="22"/>
      <c r="F15" s="22"/>
      <c r="G15" s="22"/>
      <c r="H15" s="22"/>
      <c r="I15" s="51"/>
      <c r="J15" s="51"/>
      <c r="K15" s="12" t="str">
        <f t="shared" si="0"/>
        <v/>
      </c>
    </row>
    <row r="16" spans="1:13" ht="20.149999999999999" customHeight="1">
      <c r="A16" s="49"/>
      <c r="B16" s="50"/>
      <c r="C16" s="22"/>
      <c r="D16" s="22"/>
      <c r="E16" s="22"/>
      <c r="F16" s="22"/>
      <c r="G16" s="22"/>
      <c r="H16" s="22"/>
      <c r="I16" s="51"/>
      <c r="J16" s="51"/>
      <c r="K16" s="12" t="str">
        <f t="shared" si="0"/>
        <v/>
      </c>
    </row>
    <row r="17" spans="1:11" ht="20.149999999999999" customHeight="1">
      <c r="A17" s="49"/>
      <c r="B17" s="50"/>
      <c r="C17" s="22"/>
      <c r="D17" s="22"/>
      <c r="E17" s="22"/>
      <c r="F17" s="22"/>
      <c r="G17" s="22"/>
      <c r="H17" s="22"/>
      <c r="I17" s="51"/>
      <c r="J17" s="51"/>
      <c r="K17" s="12" t="str">
        <f t="shared" si="0"/>
        <v/>
      </c>
    </row>
    <row r="18" spans="1:11" ht="20.149999999999999" customHeight="1">
      <c r="A18" s="49"/>
      <c r="B18" s="50"/>
      <c r="C18" s="22"/>
      <c r="D18" s="22"/>
      <c r="E18" s="22"/>
      <c r="F18" s="22"/>
      <c r="G18" s="22"/>
      <c r="H18" s="22"/>
      <c r="I18" s="51"/>
      <c r="J18" s="51"/>
      <c r="K18" s="12" t="str">
        <f t="shared" si="0"/>
        <v/>
      </c>
    </row>
    <row r="19" spans="1:11" ht="20.149999999999999" customHeight="1">
      <c r="A19" s="49"/>
      <c r="B19" s="50"/>
      <c r="C19" s="22"/>
      <c r="D19" s="22"/>
      <c r="E19" s="22"/>
      <c r="F19" s="22"/>
      <c r="G19" s="22"/>
      <c r="H19" s="22"/>
      <c r="I19" s="51"/>
      <c r="J19" s="51"/>
      <c r="K19" s="12" t="str">
        <f t="shared" si="0"/>
        <v/>
      </c>
    </row>
    <row r="20" spans="1:11" ht="20.149999999999999" customHeight="1">
      <c r="A20" s="49"/>
      <c r="B20" s="50"/>
      <c r="C20" s="22"/>
      <c r="D20" s="22"/>
      <c r="E20" s="22"/>
      <c r="F20" s="22"/>
      <c r="G20" s="22"/>
      <c r="H20" s="22"/>
      <c r="I20" s="51"/>
      <c r="J20" s="51"/>
      <c r="K20" s="12" t="str">
        <f t="shared" si="0"/>
        <v/>
      </c>
    </row>
    <row r="21" spans="1:11" ht="30.75" customHeight="1">
      <c r="A21" s="26" t="s">
        <v>43</v>
      </c>
      <c r="B21" s="53" t="s">
        <v>44</v>
      </c>
      <c r="C21" s="54">
        <f>COUNTIFS(C11:C20,"&lt;&gt;")</f>
        <v>0</v>
      </c>
      <c r="D21" s="30" t="s">
        <v>45</v>
      </c>
      <c r="E21" s="31"/>
      <c r="F21" s="31"/>
      <c r="G21" s="31"/>
      <c r="H21" s="31"/>
      <c r="I21" s="31"/>
      <c r="J21" s="32"/>
      <c r="K21" s="12" t="e">
        <f>CONCATENATE(#REF!,#REF!)</f>
        <v>#REF!</v>
      </c>
    </row>
    <row r="22" spans="1:11">
      <c r="K22" s="12" t="e">
        <f>CONCATENATE(#REF!,#REF!)</f>
        <v>#REF!</v>
      </c>
    </row>
    <row r="23" spans="1:11">
      <c r="K23" s="12" t="str">
        <f t="shared" ref="K23:K86" si="1">CONCATENATE(G21,C21)</f>
        <v>0</v>
      </c>
    </row>
    <row r="24" spans="1:11">
      <c r="K24" s="12" t="str">
        <f t="shared" si="1"/>
        <v/>
      </c>
    </row>
    <row r="25" spans="1:11">
      <c r="K25" s="12" t="str">
        <f t="shared" si="1"/>
        <v/>
      </c>
    </row>
    <row r="26" spans="1:11">
      <c r="K26" s="12" t="str">
        <f t="shared" si="1"/>
        <v/>
      </c>
    </row>
    <row r="27" spans="1:11">
      <c r="K27" s="12" t="str">
        <f t="shared" si="1"/>
        <v/>
      </c>
    </row>
    <row r="28" spans="1:11">
      <c r="K28" s="12" t="str">
        <f t="shared" si="1"/>
        <v/>
      </c>
    </row>
    <row r="29" spans="1:11">
      <c r="K29" s="12" t="str">
        <f t="shared" si="1"/>
        <v/>
      </c>
    </row>
    <row r="30" spans="1:11">
      <c r="K30" s="12" t="str">
        <f t="shared" si="1"/>
        <v/>
      </c>
    </row>
    <row r="31" spans="1:11">
      <c r="K31" s="12" t="str">
        <f t="shared" si="1"/>
        <v/>
      </c>
    </row>
    <row r="32" spans="1:11">
      <c r="K32" s="12" t="str">
        <f t="shared" si="1"/>
        <v/>
      </c>
    </row>
    <row r="33" spans="11:11">
      <c r="K33" s="12" t="str">
        <f t="shared" si="1"/>
        <v/>
      </c>
    </row>
    <row r="34" spans="11:11">
      <c r="K34" s="12" t="str">
        <f t="shared" si="1"/>
        <v/>
      </c>
    </row>
    <row r="35" spans="11:11">
      <c r="K35" s="12" t="str">
        <f t="shared" si="1"/>
        <v/>
      </c>
    </row>
    <row r="36" spans="11:11">
      <c r="K36" s="12" t="str">
        <f t="shared" si="1"/>
        <v/>
      </c>
    </row>
    <row r="37" spans="11:11">
      <c r="K37" s="12" t="str">
        <f t="shared" si="1"/>
        <v/>
      </c>
    </row>
    <row r="38" spans="11:11">
      <c r="K38" s="12" t="str">
        <f t="shared" si="1"/>
        <v/>
      </c>
    </row>
    <row r="39" spans="11:11">
      <c r="K39" s="12" t="str">
        <f t="shared" si="1"/>
        <v/>
      </c>
    </row>
    <row r="40" spans="11:11">
      <c r="K40" s="12" t="str">
        <f t="shared" si="1"/>
        <v/>
      </c>
    </row>
    <row r="41" spans="11:11">
      <c r="K41" s="12" t="str">
        <f t="shared" si="1"/>
        <v/>
      </c>
    </row>
    <row r="42" spans="11:11">
      <c r="K42" s="12" t="str">
        <f t="shared" si="1"/>
        <v/>
      </c>
    </row>
    <row r="43" spans="11:11">
      <c r="K43" s="12" t="str">
        <f t="shared" si="1"/>
        <v/>
      </c>
    </row>
    <row r="44" spans="11:11">
      <c r="K44" s="12" t="str">
        <f t="shared" si="1"/>
        <v/>
      </c>
    </row>
    <row r="45" spans="11:11">
      <c r="K45" s="12" t="str">
        <f t="shared" si="1"/>
        <v/>
      </c>
    </row>
    <row r="46" spans="11:11">
      <c r="K46" s="12" t="str">
        <f t="shared" si="1"/>
        <v/>
      </c>
    </row>
    <row r="47" spans="11:11">
      <c r="K47" s="12" t="str">
        <f t="shared" si="1"/>
        <v/>
      </c>
    </row>
    <row r="48" spans="11:11">
      <c r="K48" s="12" t="str">
        <f t="shared" si="1"/>
        <v/>
      </c>
    </row>
    <row r="49" spans="11:11">
      <c r="K49" s="12" t="str">
        <f t="shared" si="1"/>
        <v/>
      </c>
    </row>
    <row r="50" spans="11:11">
      <c r="K50" s="12" t="str">
        <f t="shared" si="1"/>
        <v/>
      </c>
    </row>
    <row r="51" spans="11:11">
      <c r="K51" s="12" t="str">
        <f t="shared" si="1"/>
        <v/>
      </c>
    </row>
    <row r="52" spans="11:11">
      <c r="K52" s="12" t="str">
        <f t="shared" si="1"/>
        <v/>
      </c>
    </row>
    <row r="53" spans="11:11">
      <c r="K53" s="12" t="str">
        <f t="shared" si="1"/>
        <v/>
      </c>
    </row>
    <row r="54" spans="11:11">
      <c r="K54" s="12" t="str">
        <f t="shared" si="1"/>
        <v/>
      </c>
    </row>
    <row r="55" spans="11:11">
      <c r="K55" s="12" t="str">
        <f t="shared" si="1"/>
        <v/>
      </c>
    </row>
    <row r="56" spans="11:11">
      <c r="K56" s="12" t="str">
        <f t="shared" si="1"/>
        <v/>
      </c>
    </row>
    <row r="57" spans="11:11">
      <c r="K57" s="12" t="str">
        <f t="shared" si="1"/>
        <v/>
      </c>
    </row>
    <row r="58" spans="11:11">
      <c r="K58" s="12" t="str">
        <f t="shared" si="1"/>
        <v/>
      </c>
    </row>
    <row r="59" spans="11:11">
      <c r="K59" s="12" t="str">
        <f t="shared" si="1"/>
        <v/>
      </c>
    </row>
    <row r="60" spans="11:11">
      <c r="K60" s="12" t="str">
        <f t="shared" si="1"/>
        <v/>
      </c>
    </row>
    <row r="61" spans="11:11">
      <c r="K61" s="12" t="str">
        <f t="shared" si="1"/>
        <v/>
      </c>
    </row>
    <row r="62" spans="11:11">
      <c r="K62" s="12" t="str">
        <f t="shared" si="1"/>
        <v/>
      </c>
    </row>
    <row r="63" spans="11:11">
      <c r="K63" s="12" t="str">
        <f t="shared" si="1"/>
        <v/>
      </c>
    </row>
    <row r="64" spans="11:11">
      <c r="K64" s="12" t="str">
        <f t="shared" si="1"/>
        <v/>
      </c>
    </row>
    <row r="65" spans="11:11">
      <c r="K65" s="12" t="str">
        <f t="shared" si="1"/>
        <v/>
      </c>
    </row>
    <row r="66" spans="11:11">
      <c r="K66" s="12" t="str">
        <f t="shared" si="1"/>
        <v/>
      </c>
    </row>
    <row r="67" spans="11:11">
      <c r="K67" s="12" t="str">
        <f t="shared" si="1"/>
        <v/>
      </c>
    </row>
    <row r="68" spans="11:11">
      <c r="K68" s="12" t="str">
        <f t="shared" si="1"/>
        <v/>
      </c>
    </row>
    <row r="69" spans="11:11">
      <c r="K69" s="12" t="str">
        <f t="shared" si="1"/>
        <v/>
      </c>
    </row>
    <row r="70" spans="11:11">
      <c r="K70" s="12" t="str">
        <f t="shared" si="1"/>
        <v/>
      </c>
    </row>
    <row r="71" spans="11:11">
      <c r="K71" s="12" t="str">
        <f t="shared" si="1"/>
        <v/>
      </c>
    </row>
    <row r="72" spans="11:11">
      <c r="K72" s="12" t="str">
        <f t="shared" si="1"/>
        <v/>
      </c>
    </row>
    <row r="73" spans="11:11">
      <c r="K73" s="12" t="str">
        <f t="shared" si="1"/>
        <v/>
      </c>
    </row>
    <row r="74" spans="11:11">
      <c r="K74" s="12" t="str">
        <f t="shared" si="1"/>
        <v/>
      </c>
    </row>
    <row r="75" spans="11:11">
      <c r="K75" s="12" t="str">
        <f t="shared" si="1"/>
        <v/>
      </c>
    </row>
    <row r="76" spans="11:11">
      <c r="K76" s="12" t="str">
        <f t="shared" si="1"/>
        <v/>
      </c>
    </row>
    <row r="77" spans="11:11">
      <c r="K77" s="12" t="str">
        <f t="shared" si="1"/>
        <v/>
      </c>
    </row>
    <row r="78" spans="11:11">
      <c r="K78" s="12" t="str">
        <f t="shared" si="1"/>
        <v/>
      </c>
    </row>
    <row r="79" spans="11:11">
      <c r="K79" s="12" t="str">
        <f t="shared" si="1"/>
        <v/>
      </c>
    </row>
    <row r="80" spans="11:11">
      <c r="K80" s="12" t="str">
        <f t="shared" si="1"/>
        <v/>
      </c>
    </row>
    <row r="81" spans="11:11">
      <c r="K81" s="12" t="str">
        <f t="shared" si="1"/>
        <v/>
      </c>
    </row>
    <row r="82" spans="11:11">
      <c r="K82" s="12" t="str">
        <f t="shared" si="1"/>
        <v/>
      </c>
    </row>
    <row r="83" spans="11:11">
      <c r="K83" s="12" t="str">
        <f t="shared" si="1"/>
        <v/>
      </c>
    </row>
    <row r="84" spans="11:11">
      <c r="K84" s="12" t="str">
        <f t="shared" si="1"/>
        <v/>
      </c>
    </row>
    <row r="85" spans="11:11">
      <c r="K85" s="12" t="str">
        <f t="shared" si="1"/>
        <v/>
      </c>
    </row>
    <row r="86" spans="11:11">
      <c r="K86" s="12" t="str">
        <f t="shared" si="1"/>
        <v/>
      </c>
    </row>
    <row r="87" spans="11:11">
      <c r="K87" s="12" t="str">
        <f t="shared" ref="K87:K129" si="2">CONCATENATE(G85,C85)</f>
        <v/>
      </c>
    </row>
    <row r="88" spans="11:11">
      <c r="K88" s="12" t="str">
        <f t="shared" si="2"/>
        <v/>
      </c>
    </row>
    <row r="89" spans="11:11">
      <c r="K89" s="12" t="str">
        <f t="shared" si="2"/>
        <v/>
      </c>
    </row>
    <row r="90" spans="11:11">
      <c r="K90" s="12" t="str">
        <f t="shared" si="2"/>
        <v/>
      </c>
    </row>
    <row r="91" spans="11:11">
      <c r="K91" s="12" t="str">
        <f t="shared" si="2"/>
        <v/>
      </c>
    </row>
    <row r="92" spans="11:11">
      <c r="K92" s="12" t="str">
        <f t="shared" si="2"/>
        <v/>
      </c>
    </row>
    <row r="93" spans="11:11">
      <c r="K93" s="12" t="str">
        <f t="shared" si="2"/>
        <v/>
      </c>
    </row>
    <row r="94" spans="11:11">
      <c r="K94" s="12" t="str">
        <f t="shared" si="2"/>
        <v/>
      </c>
    </row>
    <row r="95" spans="11:11">
      <c r="K95" s="12" t="str">
        <f t="shared" si="2"/>
        <v/>
      </c>
    </row>
    <row r="96" spans="11:11">
      <c r="K96" s="12" t="str">
        <f t="shared" si="2"/>
        <v/>
      </c>
    </row>
    <row r="97" spans="11:11">
      <c r="K97" s="12" t="str">
        <f t="shared" si="2"/>
        <v/>
      </c>
    </row>
    <row r="98" spans="11:11">
      <c r="K98" s="12" t="str">
        <f t="shared" si="2"/>
        <v/>
      </c>
    </row>
    <row r="99" spans="11:11">
      <c r="K99" s="12" t="str">
        <f t="shared" si="2"/>
        <v/>
      </c>
    </row>
    <row r="100" spans="11:11">
      <c r="K100" s="12" t="str">
        <f t="shared" si="2"/>
        <v/>
      </c>
    </row>
    <row r="101" spans="11:11">
      <c r="K101" s="12" t="str">
        <f t="shared" si="2"/>
        <v/>
      </c>
    </row>
    <row r="102" spans="11:11">
      <c r="K102" s="12" t="str">
        <f t="shared" si="2"/>
        <v/>
      </c>
    </row>
    <row r="103" spans="11:11">
      <c r="K103" s="12" t="str">
        <f t="shared" si="2"/>
        <v/>
      </c>
    </row>
    <row r="104" spans="11:11">
      <c r="K104" s="12" t="str">
        <f t="shared" si="2"/>
        <v/>
      </c>
    </row>
    <row r="105" spans="11:11">
      <c r="K105" s="12" t="str">
        <f t="shared" si="2"/>
        <v/>
      </c>
    </row>
    <row r="106" spans="11:11">
      <c r="K106" s="12" t="str">
        <f t="shared" si="2"/>
        <v/>
      </c>
    </row>
    <row r="107" spans="11:11">
      <c r="K107" s="12" t="str">
        <f t="shared" si="2"/>
        <v/>
      </c>
    </row>
    <row r="108" spans="11:11">
      <c r="K108" s="12" t="str">
        <f t="shared" si="2"/>
        <v/>
      </c>
    </row>
    <row r="109" spans="11:11">
      <c r="K109" s="12" t="str">
        <f t="shared" si="2"/>
        <v/>
      </c>
    </row>
    <row r="110" spans="11:11">
      <c r="K110" s="12" t="str">
        <f t="shared" si="2"/>
        <v/>
      </c>
    </row>
    <row r="111" spans="11:11">
      <c r="K111" s="12" t="str">
        <f t="shared" si="2"/>
        <v/>
      </c>
    </row>
    <row r="112" spans="11:11">
      <c r="K112" s="12" t="str">
        <f t="shared" si="2"/>
        <v/>
      </c>
    </row>
    <row r="113" spans="11:11">
      <c r="K113" s="12" t="str">
        <f t="shared" si="2"/>
        <v/>
      </c>
    </row>
    <row r="114" spans="11:11">
      <c r="K114" s="12" t="str">
        <f t="shared" si="2"/>
        <v/>
      </c>
    </row>
    <row r="115" spans="11:11">
      <c r="K115" s="12" t="str">
        <f t="shared" si="2"/>
        <v/>
      </c>
    </row>
    <row r="116" spans="11:11">
      <c r="K116" s="12" t="str">
        <f t="shared" si="2"/>
        <v/>
      </c>
    </row>
    <row r="117" spans="11:11">
      <c r="K117" s="12" t="str">
        <f t="shared" si="2"/>
        <v/>
      </c>
    </row>
    <row r="118" spans="11:11">
      <c r="K118" s="12" t="str">
        <f t="shared" si="2"/>
        <v/>
      </c>
    </row>
    <row r="119" spans="11:11">
      <c r="K119" s="12" t="str">
        <f t="shared" si="2"/>
        <v/>
      </c>
    </row>
    <row r="120" spans="11:11">
      <c r="K120" s="12" t="str">
        <f t="shared" si="2"/>
        <v/>
      </c>
    </row>
    <row r="121" spans="11:11">
      <c r="K121" s="12" t="str">
        <f t="shared" si="2"/>
        <v/>
      </c>
    </row>
    <row r="122" spans="11:11">
      <c r="K122" s="12" t="str">
        <f t="shared" si="2"/>
        <v/>
      </c>
    </row>
    <row r="123" spans="11:11">
      <c r="K123" s="12" t="str">
        <f t="shared" si="2"/>
        <v/>
      </c>
    </row>
    <row r="124" spans="11:11">
      <c r="K124" s="12" t="str">
        <f t="shared" si="2"/>
        <v/>
      </c>
    </row>
    <row r="125" spans="11:11">
      <c r="K125" s="12" t="str">
        <f t="shared" si="2"/>
        <v/>
      </c>
    </row>
    <row r="126" spans="11:11">
      <c r="K126" s="12" t="str">
        <f t="shared" si="2"/>
        <v/>
      </c>
    </row>
    <row r="127" spans="11:11">
      <c r="K127" s="12" t="str">
        <f t="shared" si="2"/>
        <v/>
      </c>
    </row>
    <row r="128" spans="11:11">
      <c r="K128" s="12" t="str">
        <f t="shared" si="2"/>
        <v/>
      </c>
    </row>
    <row r="129" spans="11:11">
      <c r="K129" s="12" t="str">
        <f t="shared" si="2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8">
    <mergeCell ref="A20:B20"/>
    <mergeCell ref="I20:J20"/>
    <mergeCell ref="A16:B16"/>
    <mergeCell ref="I16:J16"/>
    <mergeCell ref="A17:B17"/>
    <mergeCell ref="I17:J17"/>
    <mergeCell ref="A18:B18"/>
    <mergeCell ref="I18:J18"/>
    <mergeCell ref="I14:J14"/>
    <mergeCell ref="A15:B15"/>
    <mergeCell ref="I15:J15"/>
    <mergeCell ref="A19:B19"/>
    <mergeCell ref="I19:J19"/>
    <mergeCell ref="A9:J9"/>
    <mergeCell ref="D21:J21"/>
    <mergeCell ref="A2:J2"/>
    <mergeCell ref="E3:J3"/>
    <mergeCell ref="E4:J8"/>
    <mergeCell ref="B8:D8"/>
    <mergeCell ref="A10:B10"/>
    <mergeCell ref="I10:J10"/>
    <mergeCell ref="A11:B11"/>
    <mergeCell ref="I11:J11"/>
    <mergeCell ref="A12:B12"/>
    <mergeCell ref="I12:J12"/>
    <mergeCell ref="A13:B13"/>
    <mergeCell ref="I13:J13"/>
    <mergeCell ref="A14:B14"/>
  </mergeCells>
  <phoneticPr fontId="3" type="noConversion"/>
  <dataValidations count="4">
    <dataValidation type="list" allowBlank="1" showInputMessage="1" showErrorMessage="1" sqref="E22:H65507 G11:G20 J22:J65507">
      <formula1>#REF!</formula1>
    </dataValidation>
    <dataValidation type="list" allowBlank="1" showInputMessage="1" showErrorMessage="1" sqref="C11:C20">
      <formula1>"严重,一般,轻微"</formula1>
    </dataValidation>
    <dataValidation type="list" allowBlank="1" showInputMessage="1" showErrorMessage="1" sqref="F11:F20">
      <formula1>"提出,处理,待验证,重现,已解决,无法解决,延后解决"</formula1>
    </dataValidation>
    <dataValidation type="list" allowBlank="1" showInputMessage="1" showErrorMessage="1" sqref="J11:J20">
      <formula1>"新建,拒绝,已修复,已确认,重新修改"</formula1>
    </dataValidation>
  </dataValidations>
  <pageMargins left="0.75" right="0.75" top="1" bottom="1" header="0.5" footer="0.5"/>
  <pageSetup paperSize="9"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9"/>
  <sheetViews>
    <sheetView showGridLines="0" topLeftCell="A7" zoomScale="90" zoomScaleNormal="90" workbookViewId="0">
      <selection activeCell="B20" sqref="B20"/>
    </sheetView>
  </sheetViews>
  <sheetFormatPr defaultColWidth="9" defaultRowHeight="14"/>
  <cols>
    <col min="1" max="1" width="9" style="11"/>
    <col min="2" max="2" width="42.7265625" style="12" customWidth="1"/>
    <col min="3" max="3" width="12.36328125" style="12" customWidth="1"/>
    <col min="4" max="4" width="9.453125" style="12" customWidth="1"/>
    <col min="5" max="5" width="7.08984375" style="12" customWidth="1"/>
    <col min="6" max="6" width="9.453125" style="12" customWidth="1"/>
    <col min="7" max="7" width="0.26953125" style="12" customWidth="1"/>
    <col min="8" max="8" width="9.453125" style="11" customWidth="1"/>
    <col min="9" max="9" width="10.90625" style="11" customWidth="1"/>
    <col min="10" max="33" width="9" style="11"/>
    <col min="34" max="34" width="5.453125" style="11" customWidth="1"/>
    <col min="35" max="16384" width="9" style="11"/>
  </cols>
  <sheetData>
    <row r="1" spans="1:9" s="5" customFormat="1" ht="40.5" customHeight="1">
      <c r="A1" s="52" t="s">
        <v>0</v>
      </c>
      <c r="B1" s="52"/>
      <c r="C1" s="52"/>
      <c r="D1" s="1"/>
      <c r="E1" s="2"/>
      <c r="F1" s="2"/>
      <c r="G1" s="2"/>
      <c r="H1" s="3"/>
      <c r="I1" s="4"/>
    </row>
    <row r="2" spans="1:9" s="7" customFormat="1" ht="20.149999999999999" customHeight="1">
      <c r="A2" s="6" t="s">
        <v>1</v>
      </c>
      <c r="B2" s="6" t="s">
        <v>2</v>
      </c>
      <c r="C2" s="6" t="s">
        <v>3</v>
      </c>
    </row>
    <row r="3" spans="1:9" s="7" customFormat="1" ht="20.149999999999999" customHeight="1">
      <c r="A3" s="8">
        <v>1</v>
      </c>
      <c r="B3" s="9" t="s">
        <v>4</v>
      </c>
      <c r="C3" s="10"/>
    </row>
    <row r="4" spans="1:9" s="7" customFormat="1" ht="20.149999999999999" customHeight="1">
      <c r="A4" s="8">
        <v>2</v>
      </c>
      <c r="B4" s="9" t="s">
        <v>5</v>
      </c>
      <c r="C4" s="10"/>
    </row>
    <row r="5" spans="1:9" s="7" customFormat="1" ht="20.149999999999999" customHeight="1">
      <c r="A5" s="8">
        <v>3</v>
      </c>
      <c r="B5" s="9" t="s">
        <v>6</v>
      </c>
      <c r="C5" s="10"/>
    </row>
    <row r="6" spans="1:9" s="7" customFormat="1" ht="20.149999999999999" customHeight="1">
      <c r="A6" s="8">
        <v>4</v>
      </c>
      <c r="B6" s="9" t="s">
        <v>7</v>
      </c>
      <c r="C6" s="10"/>
    </row>
    <row r="7" spans="1:9" s="7" customFormat="1" ht="20.149999999999999" customHeight="1">
      <c r="A7" s="8">
        <v>5</v>
      </c>
      <c r="B7" s="9" t="s">
        <v>8</v>
      </c>
      <c r="C7" s="10"/>
    </row>
    <row r="8" spans="1:9" s="7" customFormat="1" ht="20.149999999999999" customHeight="1">
      <c r="A8" s="8">
        <v>6</v>
      </c>
      <c r="B8" s="9" t="s">
        <v>9</v>
      </c>
      <c r="C8" s="10"/>
    </row>
    <row r="9" spans="1:9" s="7" customFormat="1" ht="20.149999999999999" customHeight="1">
      <c r="A9" s="8">
        <v>7</v>
      </c>
      <c r="B9" s="9" t="s">
        <v>10</v>
      </c>
      <c r="C9" s="10"/>
    </row>
    <row r="10" spans="1:9" s="7" customFormat="1" ht="20.149999999999999" customHeight="1">
      <c r="A10" s="8">
        <v>8</v>
      </c>
      <c r="B10" s="9" t="s">
        <v>11</v>
      </c>
      <c r="C10" s="10"/>
    </row>
    <row r="11" spans="1:9" s="7" customFormat="1" ht="20.149999999999999" customHeight="1">
      <c r="A11" s="8">
        <v>9</v>
      </c>
      <c r="B11" s="9" t="s">
        <v>12</v>
      </c>
      <c r="C11" s="10"/>
    </row>
    <row r="12" spans="1:9" s="7" customFormat="1" ht="20.149999999999999" customHeight="1">
      <c r="A12" s="8">
        <v>10</v>
      </c>
      <c r="B12" s="9" t="s">
        <v>13</v>
      </c>
      <c r="C12" s="10"/>
    </row>
    <row r="13" spans="1:9" s="7" customFormat="1" ht="20.149999999999999" customHeight="1">
      <c r="A13" s="8">
        <v>11</v>
      </c>
      <c r="B13" s="9" t="s">
        <v>14</v>
      </c>
      <c r="C13" s="10"/>
    </row>
    <row r="14" spans="1:9" s="7" customFormat="1" ht="20.149999999999999" customHeight="1">
      <c r="A14" s="8">
        <v>12</v>
      </c>
      <c r="B14" s="9" t="s">
        <v>15</v>
      </c>
      <c r="C14" s="10"/>
    </row>
    <row r="15" spans="1:9" s="7" customFormat="1" ht="20.149999999999999" customHeight="1">
      <c r="A15" s="8">
        <v>13</v>
      </c>
      <c r="B15" s="9" t="s">
        <v>16</v>
      </c>
      <c r="C15" s="10"/>
    </row>
    <row r="16" spans="1:9" s="7" customFormat="1" ht="20.149999999999999" customHeight="1">
      <c r="A16" s="8">
        <v>14</v>
      </c>
      <c r="B16" s="9" t="s">
        <v>17</v>
      </c>
      <c r="C16" s="10"/>
    </row>
    <row r="17" spans="1:7" s="7" customFormat="1" ht="20.149999999999999" customHeight="1">
      <c r="A17" s="8">
        <v>15</v>
      </c>
      <c r="B17" s="9" t="s">
        <v>18</v>
      </c>
      <c r="C17" s="10"/>
    </row>
    <row r="18" spans="1:7" s="7" customFormat="1" ht="20.149999999999999" customHeight="1">
      <c r="A18" s="8">
        <v>16</v>
      </c>
      <c r="B18" s="9" t="s">
        <v>19</v>
      </c>
      <c r="C18" s="10"/>
    </row>
    <row r="19" spans="1:7" s="7" customFormat="1" ht="20.149999999999999" customHeight="1">
      <c r="A19" s="8">
        <v>17</v>
      </c>
      <c r="B19" s="9" t="s">
        <v>20</v>
      </c>
      <c r="C19" s="10"/>
    </row>
    <row r="20" spans="1:7" s="7" customFormat="1" ht="20.149999999999999" customHeight="1">
      <c r="A20" s="8">
        <v>18</v>
      </c>
      <c r="B20" s="9" t="s">
        <v>21</v>
      </c>
      <c r="C20" s="10"/>
    </row>
    <row r="21" spans="1:7" s="7" customFormat="1" ht="20.149999999999999" customHeight="1">
      <c r="A21" s="8">
        <v>19</v>
      </c>
      <c r="B21" s="9" t="s">
        <v>22</v>
      </c>
      <c r="C21" s="10"/>
    </row>
    <row r="22" spans="1:7">
      <c r="G22" s="12" t="e">
        <f>CONCATENATE(C22,#REF!)</f>
        <v>#REF!</v>
      </c>
    </row>
    <row r="23" spans="1:7">
      <c r="G23" s="12" t="e">
        <f>CONCATENATE(C23,#REF!)</f>
        <v>#REF!</v>
      </c>
    </row>
    <row r="24" spans="1:7">
      <c r="G24" s="12" t="e">
        <f>CONCATENATE(C24,#REF!)</f>
        <v>#REF!</v>
      </c>
    </row>
    <row r="25" spans="1:7">
      <c r="G25" s="12" t="e">
        <f>CONCATENATE(C25,#REF!)</f>
        <v>#REF!</v>
      </c>
    </row>
    <row r="26" spans="1:7">
      <c r="G26" s="12" t="e">
        <f>CONCATENATE(C26,#REF!)</f>
        <v>#REF!</v>
      </c>
    </row>
    <row r="27" spans="1:7">
      <c r="G27" s="12" t="e">
        <f>CONCATENATE(C27,#REF!)</f>
        <v>#REF!</v>
      </c>
    </row>
    <row r="28" spans="1:7">
      <c r="G28" s="12" t="e">
        <f>CONCATENATE(C28,#REF!)</f>
        <v>#REF!</v>
      </c>
    </row>
    <row r="29" spans="1:7">
      <c r="G29" s="12" t="e">
        <f>CONCATENATE(C29,#REF!)</f>
        <v>#REF!</v>
      </c>
    </row>
    <row r="30" spans="1:7">
      <c r="G30" s="12" t="e">
        <f>CONCATENATE(C30,#REF!)</f>
        <v>#REF!</v>
      </c>
    </row>
    <row r="31" spans="1:7">
      <c r="G31" s="12" t="e">
        <f>CONCATENATE(C31,#REF!)</f>
        <v>#REF!</v>
      </c>
    </row>
    <row r="32" spans="1:7">
      <c r="G32" s="12" t="e">
        <f>CONCATENATE(C32,#REF!)</f>
        <v>#REF!</v>
      </c>
    </row>
    <row r="33" spans="7:7">
      <c r="G33" s="12" t="e">
        <f>CONCATENATE(C33,#REF!)</f>
        <v>#REF!</v>
      </c>
    </row>
    <row r="34" spans="7:7">
      <c r="G34" s="12" t="e">
        <f>CONCATENATE(C34,#REF!)</f>
        <v>#REF!</v>
      </c>
    </row>
    <row r="35" spans="7:7">
      <c r="G35" s="12" t="e">
        <f>CONCATENATE(C35,#REF!)</f>
        <v>#REF!</v>
      </c>
    </row>
    <row r="36" spans="7:7">
      <c r="G36" s="12" t="e">
        <f>CONCATENATE(C36,#REF!)</f>
        <v>#REF!</v>
      </c>
    </row>
    <row r="37" spans="7:7">
      <c r="G37" s="12" t="e">
        <f>CONCATENATE(C37,#REF!)</f>
        <v>#REF!</v>
      </c>
    </row>
    <row r="38" spans="7:7">
      <c r="G38" s="12" t="e">
        <f>CONCATENATE(C38,#REF!)</f>
        <v>#REF!</v>
      </c>
    </row>
    <row r="39" spans="7:7">
      <c r="G39" s="12" t="e">
        <f>CONCATENATE(C39,#REF!)</f>
        <v>#REF!</v>
      </c>
    </row>
    <row r="40" spans="7:7">
      <c r="G40" s="12" t="e">
        <f>CONCATENATE(C40,#REF!)</f>
        <v>#REF!</v>
      </c>
    </row>
    <row r="41" spans="7:7">
      <c r="G41" s="12" t="e">
        <f>CONCATENATE(C41,#REF!)</f>
        <v>#REF!</v>
      </c>
    </row>
    <row r="42" spans="7:7">
      <c r="G42" s="12" t="e">
        <f>CONCATENATE(C42,#REF!)</f>
        <v>#REF!</v>
      </c>
    </row>
    <row r="43" spans="7:7">
      <c r="G43" s="12" t="e">
        <f>CONCATENATE(C43,#REF!)</f>
        <v>#REF!</v>
      </c>
    </row>
    <row r="44" spans="7:7">
      <c r="G44" s="12" t="e">
        <f>CONCATENATE(C44,#REF!)</f>
        <v>#REF!</v>
      </c>
    </row>
    <row r="45" spans="7:7">
      <c r="G45" s="12" t="e">
        <f>CONCATENATE(C45,#REF!)</f>
        <v>#REF!</v>
      </c>
    </row>
    <row r="46" spans="7:7">
      <c r="G46" s="12" t="e">
        <f>CONCATENATE(C46,#REF!)</f>
        <v>#REF!</v>
      </c>
    </row>
    <row r="47" spans="7:7">
      <c r="G47" s="12" t="e">
        <f>CONCATENATE(C47,#REF!)</f>
        <v>#REF!</v>
      </c>
    </row>
    <row r="48" spans="7:7">
      <c r="G48" s="12" t="e">
        <f>CONCATENATE(C48,#REF!)</f>
        <v>#REF!</v>
      </c>
    </row>
    <row r="49" spans="7:7">
      <c r="G49" s="12" t="e">
        <f>CONCATENATE(C49,#REF!)</f>
        <v>#REF!</v>
      </c>
    </row>
    <row r="50" spans="7:7">
      <c r="G50" s="12" t="e">
        <f>CONCATENATE(C50,#REF!)</f>
        <v>#REF!</v>
      </c>
    </row>
    <row r="51" spans="7:7">
      <c r="G51" s="12" t="e">
        <f>CONCATENATE(C51,#REF!)</f>
        <v>#REF!</v>
      </c>
    </row>
    <row r="52" spans="7:7">
      <c r="G52" s="12" t="e">
        <f>CONCATENATE(C52,#REF!)</f>
        <v>#REF!</v>
      </c>
    </row>
    <row r="53" spans="7:7">
      <c r="G53" s="12" t="e">
        <f>CONCATENATE(C53,#REF!)</f>
        <v>#REF!</v>
      </c>
    </row>
    <row r="54" spans="7:7">
      <c r="G54" s="12" t="e">
        <f>CONCATENATE(C54,#REF!)</f>
        <v>#REF!</v>
      </c>
    </row>
    <row r="55" spans="7:7">
      <c r="G55" s="12" t="e">
        <f>CONCATENATE(C55,#REF!)</f>
        <v>#REF!</v>
      </c>
    </row>
    <row r="56" spans="7:7">
      <c r="G56" s="12" t="e">
        <f>CONCATENATE(C56,#REF!)</f>
        <v>#REF!</v>
      </c>
    </row>
    <row r="57" spans="7:7">
      <c r="G57" s="12" t="e">
        <f>CONCATENATE(C57,#REF!)</f>
        <v>#REF!</v>
      </c>
    </row>
    <row r="58" spans="7:7">
      <c r="G58" s="12" t="e">
        <f>CONCATENATE(C58,#REF!)</f>
        <v>#REF!</v>
      </c>
    </row>
    <row r="59" spans="7:7">
      <c r="G59" s="12" t="e">
        <f>CONCATENATE(C59,#REF!)</f>
        <v>#REF!</v>
      </c>
    </row>
    <row r="60" spans="7:7">
      <c r="G60" s="12" t="e">
        <f>CONCATENATE(C60,#REF!)</f>
        <v>#REF!</v>
      </c>
    </row>
    <row r="61" spans="7:7">
      <c r="G61" s="12" t="e">
        <f>CONCATENATE(C61,#REF!)</f>
        <v>#REF!</v>
      </c>
    </row>
    <row r="62" spans="7:7">
      <c r="G62" s="12" t="e">
        <f>CONCATENATE(C62,#REF!)</f>
        <v>#REF!</v>
      </c>
    </row>
    <row r="63" spans="7:7">
      <c r="G63" s="12" t="e">
        <f>CONCATENATE(C63,#REF!)</f>
        <v>#REF!</v>
      </c>
    </row>
    <row r="64" spans="7:7">
      <c r="G64" s="12" t="e">
        <f>CONCATENATE(C64,#REF!)</f>
        <v>#REF!</v>
      </c>
    </row>
    <row r="65" spans="7:7">
      <c r="G65" s="12" t="e">
        <f>CONCATENATE(C65,#REF!)</f>
        <v>#REF!</v>
      </c>
    </row>
    <row r="66" spans="7:7">
      <c r="G66" s="12" t="e">
        <f>CONCATENATE(C66,#REF!)</f>
        <v>#REF!</v>
      </c>
    </row>
    <row r="67" spans="7:7">
      <c r="G67" s="12" t="e">
        <f>CONCATENATE(C67,#REF!)</f>
        <v>#REF!</v>
      </c>
    </row>
    <row r="68" spans="7:7">
      <c r="G68" s="12" t="e">
        <f>CONCATENATE(C68,#REF!)</f>
        <v>#REF!</v>
      </c>
    </row>
    <row r="69" spans="7:7">
      <c r="G69" s="12" t="e">
        <f>CONCATENATE(C69,#REF!)</f>
        <v>#REF!</v>
      </c>
    </row>
    <row r="70" spans="7:7">
      <c r="G70" s="12" t="e">
        <f>CONCATENATE(C70,#REF!)</f>
        <v>#REF!</v>
      </c>
    </row>
    <row r="71" spans="7:7">
      <c r="G71" s="12" t="e">
        <f>CONCATENATE(C71,#REF!)</f>
        <v>#REF!</v>
      </c>
    </row>
    <row r="72" spans="7:7">
      <c r="G72" s="12" t="e">
        <f>CONCATENATE(C72,#REF!)</f>
        <v>#REF!</v>
      </c>
    </row>
    <row r="73" spans="7:7">
      <c r="G73" s="12" t="e">
        <f>CONCATENATE(C73,#REF!)</f>
        <v>#REF!</v>
      </c>
    </row>
    <row r="74" spans="7:7">
      <c r="G74" s="12" t="e">
        <f>CONCATENATE(C74,#REF!)</f>
        <v>#REF!</v>
      </c>
    </row>
    <row r="75" spans="7:7">
      <c r="G75" s="12" t="e">
        <f>CONCATENATE(C75,#REF!)</f>
        <v>#REF!</v>
      </c>
    </row>
    <row r="76" spans="7:7">
      <c r="G76" s="12" t="e">
        <f>CONCATENATE(C76,#REF!)</f>
        <v>#REF!</v>
      </c>
    </row>
    <row r="77" spans="7:7">
      <c r="G77" s="12" t="e">
        <f>CONCATENATE(C77,#REF!)</f>
        <v>#REF!</v>
      </c>
    </row>
    <row r="78" spans="7:7">
      <c r="G78" s="12" t="e">
        <f>CONCATENATE(C78,#REF!)</f>
        <v>#REF!</v>
      </c>
    </row>
    <row r="79" spans="7:7">
      <c r="G79" s="12" t="e">
        <f>CONCATENATE(C79,#REF!)</f>
        <v>#REF!</v>
      </c>
    </row>
    <row r="80" spans="7:7">
      <c r="G80" s="12" t="e">
        <f>CONCATENATE(C80,#REF!)</f>
        <v>#REF!</v>
      </c>
    </row>
    <row r="81" spans="7:7">
      <c r="G81" s="12" t="e">
        <f>CONCATENATE(C81,#REF!)</f>
        <v>#REF!</v>
      </c>
    </row>
    <row r="82" spans="7:7">
      <c r="G82" s="12" t="e">
        <f>CONCATENATE(C82,#REF!)</f>
        <v>#REF!</v>
      </c>
    </row>
    <row r="83" spans="7:7">
      <c r="G83" s="12" t="e">
        <f>CONCATENATE(C83,#REF!)</f>
        <v>#REF!</v>
      </c>
    </row>
    <row r="84" spans="7:7">
      <c r="G84" s="12" t="e">
        <f>CONCATENATE(C84,#REF!)</f>
        <v>#REF!</v>
      </c>
    </row>
    <row r="85" spans="7:7">
      <c r="G85" s="12" t="e">
        <f>CONCATENATE(C85,#REF!)</f>
        <v>#REF!</v>
      </c>
    </row>
    <row r="86" spans="7:7">
      <c r="G86" s="12" t="e">
        <f>CONCATENATE(C86,#REF!)</f>
        <v>#REF!</v>
      </c>
    </row>
    <row r="87" spans="7:7">
      <c r="G87" s="12" t="e">
        <f>CONCATENATE(C87,#REF!)</f>
        <v>#REF!</v>
      </c>
    </row>
    <row r="88" spans="7:7">
      <c r="G88" s="12" t="e">
        <f>CONCATENATE(C88,#REF!)</f>
        <v>#REF!</v>
      </c>
    </row>
    <row r="89" spans="7:7">
      <c r="G89" s="12" t="e">
        <f>CONCATENATE(C89,#REF!)</f>
        <v>#REF!</v>
      </c>
    </row>
    <row r="90" spans="7:7">
      <c r="G90" s="12" t="e">
        <f>CONCATENATE(C90,#REF!)</f>
        <v>#REF!</v>
      </c>
    </row>
    <row r="91" spans="7:7">
      <c r="G91" s="12" t="e">
        <f>CONCATENATE(C91,#REF!)</f>
        <v>#REF!</v>
      </c>
    </row>
    <row r="92" spans="7:7">
      <c r="G92" s="12" t="e">
        <f>CONCATENATE(C92,#REF!)</f>
        <v>#REF!</v>
      </c>
    </row>
    <row r="93" spans="7:7">
      <c r="G93" s="12" t="e">
        <f>CONCATENATE(C93,#REF!)</f>
        <v>#REF!</v>
      </c>
    </row>
    <row r="94" spans="7:7">
      <c r="G94" s="12" t="e">
        <f>CONCATENATE(C94,#REF!)</f>
        <v>#REF!</v>
      </c>
    </row>
    <row r="95" spans="7:7">
      <c r="G95" s="12" t="e">
        <f>CONCATENATE(C95,#REF!)</f>
        <v>#REF!</v>
      </c>
    </row>
    <row r="96" spans="7:7">
      <c r="G96" s="12" t="e">
        <f>CONCATENATE(C96,#REF!)</f>
        <v>#REF!</v>
      </c>
    </row>
    <row r="97" spans="7:7">
      <c r="G97" s="12" t="e">
        <f>CONCATENATE(C97,#REF!)</f>
        <v>#REF!</v>
      </c>
    </row>
    <row r="98" spans="7:7">
      <c r="G98" s="12" t="e">
        <f>CONCATENATE(C98,#REF!)</f>
        <v>#REF!</v>
      </c>
    </row>
    <row r="99" spans="7:7">
      <c r="G99" s="12" t="e">
        <f>CONCATENATE(C99,#REF!)</f>
        <v>#REF!</v>
      </c>
    </row>
    <row r="100" spans="7:7">
      <c r="G100" s="12" t="e">
        <f>CONCATENATE(C100,#REF!)</f>
        <v>#REF!</v>
      </c>
    </row>
    <row r="101" spans="7:7">
      <c r="G101" s="12" t="e">
        <f>CONCATENATE(C101,#REF!)</f>
        <v>#REF!</v>
      </c>
    </row>
    <row r="102" spans="7:7">
      <c r="G102" s="12" t="e">
        <f>CONCATENATE(C102,#REF!)</f>
        <v>#REF!</v>
      </c>
    </row>
    <row r="103" spans="7:7">
      <c r="G103" s="12" t="e">
        <f>CONCATENATE(C103,#REF!)</f>
        <v>#REF!</v>
      </c>
    </row>
    <row r="104" spans="7:7">
      <c r="G104" s="12" t="e">
        <f>CONCATENATE(C104,#REF!)</f>
        <v>#REF!</v>
      </c>
    </row>
    <row r="105" spans="7:7">
      <c r="G105" s="12" t="e">
        <f>CONCATENATE(C105,#REF!)</f>
        <v>#REF!</v>
      </c>
    </row>
    <row r="106" spans="7:7">
      <c r="G106" s="12" t="e">
        <f>CONCATENATE(C106,#REF!)</f>
        <v>#REF!</v>
      </c>
    </row>
    <row r="107" spans="7:7">
      <c r="G107" s="12" t="e">
        <f>CONCATENATE(C107,#REF!)</f>
        <v>#REF!</v>
      </c>
    </row>
    <row r="108" spans="7:7">
      <c r="G108" s="12" t="e">
        <f>CONCATENATE(C108,#REF!)</f>
        <v>#REF!</v>
      </c>
    </row>
    <row r="109" spans="7:7">
      <c r="G109" s="12" t="e">
        <f>CONCATENATE(C109,#REF!)</f>
        <v>#REF!</v>
      </c>
    </row>
    <row r="110" spans="7:7">
      <c r="G110" s="12" t="e">
        <f>CONCATENATE(C110,#REF!)</f>
        <v>#REF!</v>
      </c>
    </row>
    <row r="111" spans="7:7">
      <c r="G111" s="12" t="e">
        <f>CONCATENATE(C111,#REF!)</f>
        <v>#REF!</v>
      </c>
    </row>
    <row r="112" spans="7:7">
      <c r="G112" s="12" t="e">
        <f>CONCATENATE(C112,#REF!)</f>
        <v>#REF!</v>
      </c>
    </row>
    <row r="113" spans="7:7">
      <c r="G113" s="12" t="e">
        <f>CONCATENATE(C113,#REF!)</f>
        <v>#REF!</v>
      </c>
    </row>
    <row r="114" spans="7:7">
      <c r="G114" s="12" t="e">
        <f>CONCATENATE(C114,#REF!)</f>
        <v>#REF!</v>
      </c>
    </row>
    <row r="115" spans="7:7">
      <c r="G115" s="12" t="e">
        <f>CONCATENATE(C115,#REF!)</f>
        <v>#REF!</v>
      </c>
    </row>
    <row r="116" spans="7:7">
      <c r="G116" s="12" t="e">
        <f>CONCATENATE(C116,#REF!)</f>
        <v>#REF!</v>
      </c>
    </row>
    <row r="117" spans="7:7">
      <c r="G117" s="12" t="e">
        <f>CONCATENATE(C117,#REF!)</f>
        <v>#REF!</v>
      </c>
    </row>
    <row r="118" spans="7:7">
      <c r="G118" s="12" t="e">
        <f>CONCATENATE(C118,#REF!)</f>
        <v>#REF!</v>
      </c>
    </row>
    <row r="119" spans="7:7">
      <c r="G119" s="12" t="e">
        <f>CONCATENATE(C119,#REF!)</f>
        <v>#REF!</v>
      </c>
    </row>
    <row r="120" spans="7:7">
      <c r="G120" s="12" t="e">
        <f>CONCATENATE(C120,#REF!)</f>
        <v>#REF!</v>
      </c>
    </row>
    <row r="121" spans="7:7">
      <c r="G121" s="12" t="e">
        <f>CONCATENATE(C121,#REF!)</f>
        <v>#REF!</v>
      </c>
    </row>
    <row r="122" spans="7:7">
      <c r="G122" s="12" t="e">
        <f>CONCATENATE(C122,#REF!)</f>
        <v>#REF!</v>
      </c>
    </row>
    <row r="123" spans="7:7">
      <c r="G123" s="12" t="e">
        <f>CONCATENATE(C123,#REF!)</f>
        <v>#REF!</v>
      </c>
    </row>
    <row r="124" spans="7:7">
      <c r="G124" s="12" t="e">
        <f>CONCATENATE(C124,#REF!)</f>
        <v>#REF!</v>
      </c>
    </row>
    <row r="125" spans="7:7">
      <c r="G125" s="12" t="e">
        <f>CONCATENATE(C125,#REF!)</f>
        <v>#REF!</v>
      </c>
    </row>
    <row r="126" spans="7:7">
      <c r="G126" s="12" t="e">
        <f>CONCATENATE(C126,#REF!)</f>
        <v>#REF!</v>
      </c>
    </row>
    <row r="127" spans="7:7">
      <c r="G127" s="12" t="e">
        <f>CONCATENATE(C127,#REF!)</f>
        <v>#REF!</v>
      </c>
    </row>
    <row r="128" spans="7:7">
      <c r="G128" s="12" t="e">
        <f>CONCATENATE(C128,#REF!)</f>
        <v>#REF!</v>
      </c>
    </row>
    <row r="129" spans="7:7">
      <c r="G129" s="12" t="e">
        <f>CONCATENATE(C129,#REF!)</f>
        <v>#REF!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A1:C1"/>
  </mergeCells>
  <phoneticPr fontId="3" type="noConversion"/>
  <dataValidations count="2">
    <dataValidation type="list" allowBlank="1" showInputMessage="1" showErrorMessage="1" sqref="C3:C21">
      <formula1>"是,否,免"</formula1>
    </dataValidation>
    <dataValidation type="list" allowBlank="1" showInputMessage="1" showErrorMessage="1" sqref="F22:F65509 C22:D65509">
      <formula1>#REF!</formula1>
    </dataValidation>
  </dataValidations>
  <pageMargins left="0.75" right="0.75" top="1" bottom="1" header="0.5" footer="0.5"/>
  <pageSetup paperSize="9" scale="5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评审问题记录</vt:lpstr>
      <vt:lpstr>测试用例评审检查表</vt:lpstr>
      <vt:lpstr>测试用例评审检查表!Print_Area</vt:lpstr>
      <vt:lpstr>评审问题记录!Print_Area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wuym</dc:creator>
  <cp:lastModifiedBy>Hou Junliang, CIS-20(Dcits)</cp:lastModifiedBy>
  <dcterms:created xsi:type="dcterms:W3CDTF">2022-01-21T06:56:02Z</dcterms:created>
  <dcterms:modified xsi:type="dcterms:W3CDTF">2022-12-29T03:00:16Z</dcterms:modified>
</cp:coreProperties>
</file>