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f202981\Desktop\TMMi\TMMi补充材料\"/>
    </mc:Choice>
  </mc:AlternateContent>
  <bookViews>
    <workbookView xWindow="0" yWindow="0" windowWidth="20460" windowHeight="7140"/>
  </bookViews>
  <sheets>
    <sheet name="评审问题记录" sheetId="2" r:id="rId1"/>
  </sheets>
  <definedNames>
    <definedName name="_xlnm.Print_Area" localSheetId="0">评审问题记录!$A$1:$J$20</definedName>
    <definedName name="Z_DF85225E_7924_4DFE_BE34_42492B9E2F35_.wvu.Cols" localSheetId="0" hidden="1">评审问题记录!$J:$J</definedName>
    <definedName name="Z_DF85225E_7924_4DFE_BE34_42492B9E2F35_.wvu.PrintArea" localSheetId="0" hidden="1">评审问题记录!$A$1:$J$20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2" l="1"/>
  <c r="C21" i="2" l="1"/>
  <c r="B7" i="2" s="1"/>
  <c r="J129" i="2" l="1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</calcChain>
</file>

<file path=xl/sharedStrings.xml><?xml version="1.0" encoding="utf-8"?>
<sst xmlns="http://schemas.openxmlformats.org/spreadsheetml/2006/main" count="24" uniqueCount="24">
  <si>
    <t>参评人员列表</t>
    <phoneticPr fontId="4" type="noConversion"/>
  </si>
  <si>
    <t>按团队/组列出参评人员</t>
    <phoneticPr fontId="4" type="noConversion"/>
  </si>
  <si>
    <t>评审问题明细及跟踪</t>
  </si>
  <si>
    <t>级别</t>
  </si>
  <si>
    <t>发现人</t>
  </si>
  <si>
    <t>问题状态</t>
  </si>
  <si>
    <t>跟踪人</t>
  </si>
  <si>
    <t>需求位置</t>
  </si>
  <si>
    <t>评审意见与结论</t>
  </si>
  <si>
    <t>评审日期</t>
  </si>
  <si>
    <t>问题描述</t>
  </si>
  <si>
    <t>需求评审表</t>
  </si>
  <si>
    <t>评审时长（h）</t>
  </si>
  <si>
    <t>Sprint/版本</t>
  </si>
  <si>
    <t>解决方案</t>
  </si>
  <si>
    <r>
      <t xml:space="preserve">
</t>
    </r>
    <r>
      <rPr>
        <b/>
        <sz val="11"/>
        <color rgb="FF0070C0"/>
        <rFont val="彩虹小标宋"/>
        <charset val="134"/>
      </rPr>
      <t>严重：</t>
    </r>
    <r>
      <rPr>
        <sz val="11"/>
        <rFont val="彩虹小标宋"/>
        <charset val="134"/>
      </rPr>
      <t xml:space="preserve">XX个；             </t>
    </r>
    <r>
      <rPr>
        <b/>
        <sz val="11"/>
        <color rgb="FF0070C0"/>
        <rFont val="彩虹小标宋"/>
        <charset val="134"/>
      </rPr>
      <t>一般：</t>
    </r>
    <r>
      <rPr>
        <sz val="11"/>
        <rFont val="彩虹小标宋"/>
        <charset val="134"/>
      </rPr>
      <t xml:space="preserve">XX个；              </t>
    </r>
    <r>
      <rPr>
        <sz val="11"/>
        <color rgb="FF0070C0"/>
        <rFont val="彩虹小标宋"/>
        <charset val="134"/>
      </rPr>
      <t xml:space="preserve">  </t>
    </r>
    <r>
      <rPr>
        <b/>
        <sz val="11"/>
        <color rgb="FF0070C0"/>
        <rFont val="彩虹小标宋"/>
        <charset val="134"/>
      </rPr>
      <t>轻微</t>
    </r>
    <r>
      <rPr>
        <sz val="11"/>
        <color rgb="FF0070C0"/>
        <rFont val="彩虹小标宋"/>
        <charset val="134"/>
      </rPr>
      <t>：</t>
    </r>
    <r>
      <rPr>
        <sz val="11"/>
        <rFont val="彩虹小标宋"/>
        <charset val="134"/>
      </rPr>
      <t>XX个。</t>
    </r>
  </si>
  <si>
    <t>规模（需求个数）</t>
  </si>
  <si>
    <t>参审人数</t>
  </si>
  <si>
    <t>评审形式</t>
  </si>
  <si>
    <r>
      <t xml:space="preserve">
</t>
    </r>
    <r>
      <rPr>
        <b/>
        <sz val="11"/>
        <color rgb="FF0070C0"/>
        <rFont val="彩虹小标宋"/>
        <charset val="134"/>
      </rPr>
      <t>合计问题数：</t>
    </r>
  </si>
  <si>
    <t>评审对象</t>
  </si>
  <si>
    <t>问题统计</t>
  </si>
  <si>
    <t>缺陷密度</t>
  </si>
  <si>
    <t>评审效率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</si>
</sst>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family val="2"/>
      <charset val="134"/>
      <scheme val="minor"/>
    </font>
    <font>
      <sz val="12"/>
      <name val="宋体"/>
      <family val="3"/>
      <charset val="134"/>
    </font>
    <font>
      <b/>
      <sz val="18"/>
      <name val="微软雅黑"/>
      <family val="2"/>
      <charset val="134"/>
    </font>
    <font>
      <sz val="9"/>
      <name val="Calibri"/>
      <family val="2"/>
      <charset val="134"/>
      <scheme val="minor"/>
    </font>
    <font>
      <sz val="9"/>
      <name val="宋体"/>
      <family val="3"/>
      <charset val="134"/>
    </font>
    <font>
      <sz val="12"/>
      <name val="彩虹小标宋"/>
      <charset val="134"/>
    </font>
    <font>
      <sz val="8"/>
      <name val="彩虹小标宋"/>
      <charset val="134"/>
    </font>
    <font>
      <b/>
      <sz val="11"/>
      <name val="微软雅黑"/>
      <family val="2"/>
      <charset val="134"/>
    </font>
    <font>
      <sz val="11"/>
      <name val="彩虹小标宋"/>
      <charset val="134"/>
    </font>
    <font>
      <sz val="11"/>
      <name val="微软雅黑"/>
      <family val="2"/>
      <charset val="134"/>
    </font>
    <font>
      <b/>
      <i/>
      <sz val="11"/>
      <color rgb="FF0070C0"/>
      <name val="微软雅黑"/>
      <family val="2"/>
      <charset val="134"/>
    </font>
    <font>
      <b/>
      <sz val="16"/>
      <name val="微软雅黑"/>
      <family val="2"/>
      <charset val="134"/>
    </font>
    <font>
      <b/>
      <sz val="11"/>
      <name val="彩虹小标宋"/>
      <charset val="134"/>
    </font>
    <font>
      <b/>
      <sz val="11"/>
      <color rgb="FF0070C0"/>
      <name val="彩虹小标宋"/>
      <charset val="134"/>
    </font>
    <font>
      <sz val="11"/>
      <color rgb="FF0070C0"/>
      <name val="彩虹小标宋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>
      <alignment vertical="center"/>
    </xf>
  </cellStyleXfs>
  <cellXfs count="47">
    <xf numFmtId="0" fontId="0" fillId="0" borderId="0" xfId="0">
      <alignment vertical="center"/>
    </xf>
    <xf numFmtId="0" fontId="5" fillId="2" borderId="0" xfId="1" applyFont="1" applyFill="1" applyBorder="1" applyAlignment="1" applyProtection="1">
      <alignment wrapText="1"/>
      <protection locked="0"/>
    </xf>
    <xf numFmtId="0" fontId="6" fillId="2" borderId="0" xfId="1" applyFont="1" applyFill="1" applyBorder="1" applyAlignment="1" applyProtection="1">
      <alignment wrapText="1"/>
      <protection locked="0"/>
    </xf>
    <xf numFmtId="0" fontId="5" fillId="2" borderId="0" xfId="1" applyFont="1" applyFill="1" applyBorder="1" applyAlignment="1" applyProtection="1">
      <alignment vertical="center" wrapText="1"/>
      <protection locked="0"/>
    </xf>
    <xf numFmtId="0" fontId="5" fillId="0" borderId="0" xfId="1" applyFont="1" applyAlignment="1" applyProtection="1">
      <alignment vertical="center" wrapText="1"/>
      <protection locked="0"/>
    </xf>
    <xf numFmtId="0" fontId="5" fillId="2" borderId="0" xfId="1" applyFont="1" applyFill="1" applyAlignment="1" applyProtection="1">
      <alignment wrapText="1"/>
      <protection locked="0"/>
    </xf>
    <xf numFmtId="0" fontId="8" fillId="0" borderId="0" xfId="1" applyFont="1" applyFill="1" applyProtection="1">
      <protection locked="0"/>
    </xf>
    <xf numFmtId="0" fontId="8" fillId="0" borderId="0" xfId="2" applyFont="1" applyFill="1" applyAlignment="1" applyProtection="1">
      <alignment vertical="top" wrapText="1"/>
      <protection locked="0"/>
    </xf>
    <xf numFmtId="0" fontId="8" fillId="2" borderId="0" xfId="2" applyFont="1" applyFill="1" applyBorder="1" applyAlignment="1" applyProtection="1">
      <alignment vertical="top" wrapText="1"/>
      <protection locked="0"/>
    </xf>
    <xf numFmtId="0" fontId="8" fillId="2" borderId="0" xfId="1" applyFont="1" applyFill="1" applyBorder="1" applyProtection="1">
      <protection locked="0"/>
    </xf>
    <xf numFmtId="0" fontId="7" fillId="3" borderId="1" xfId="1" applyFont="1" applyFill="1" applyBorder="1" applyAlignment="1" applyProtection="1">
      <alignment horizontal="center" vertical="top" wrapText="1"/>
      <protection locked="0"/>
    </xf>
    <xf numFmtId="0" fontId="7" fillId="3" borderId="1" xfId="1" applyFont="1" applyFill="1" applyBorder="1" applyAlignment="1" applyProtection="1">
      <alignment horizontal="center" vertical="center" wrapText="1"/>
      <protection locked="0"/>
    </xf>
    <xf numFmtId="0" fontId="7" fillId="3" borderId="3" xfId="1" applyFont="1" applyFill="1" applyBorder="1" applyAlignment="1" applyProtection="1">
      <alignment horizontal="center" vertical="center" wrapText="1"/>
      <protection locked="0"/>
    </xf>
    <xf numFmtId="0" fontId="9" fillId="2" borderId="1" xfId="2" applyFont="1" applyFill="1" applyBorder="1" applyAlignment="1" applyProtection="1">
      <alignment horizontal="left" vertical="center" wrapText="1"/>
      <protection locked="0"/>
    </xf>
    <xf numFmtId="0" fontId="8" fillId="2" borderId="0" xfId="2" applyFont="1" applyFill="1" applyBorder="1" applyAlignment="1" applyProtection="1">
      <alignment horizontal="center" vertical="top" wrapText="1"/>
      <protection locked="0"/>
    </xf>
    <xf numFmtId="0" fontId="8" fillId="0" borderId="0" xfId="2" applyFont="1" applyFill="1" applyAlignment="1" applyProtection="1">
      <alignment horizontal="center" vertical="top" wrapText="1"/>
      <protection locked="0"/>
    </xf>
    <xf numFmtId="0" fontId="7" fillId="3" borderId="3" xfId="1" applyFont="1" applyFill="1" applyBorder="1" applyAlignment="1" applyProtection="1">
      <alignment horizontal="center" vertical="top" wrapText="1"/>
      <protection locked="0"/>
    </xf>
    <xf numFmtId="0" fontId="10" fillId="4" borderId="0" xfId="1" applyFont="1" applyFill="1" applyBorder="1" applyAlignment="1" applyProtection="1">
      <alignment horizontal="center" vertical="top" wrapText="1"/>
      <protection locked="0"/>
    </xf>
    <xf numFmtId="0" fontId="10" fillId="4" borderId="9" xfId="1" applyFont="1" applyFill="1" applyBorder="1" applyAlignment="1" applyProtection="1">
      <alignment horizontal="center" vertical="top" wrapText="1"/>
      <protection locked="0"/>
    </xf>
    <xf numFmtId="0" fontId="12" fillId="2" borderId="3" xfId="2" applyFont="1" applyFill="1" applyBorder="1" applyAlignment="1" applyProtection="1">
      <alignment horizontal="center" vertical="center" wrapText="1"/>
      <protection locked="0"/>
    </xf>
    <xf numFmtId="0" fontId="8" fillId="2" borderId="1" xfId="2" applyFont="1" applyFill="1" applyBorder="1" applyAlignment="1" applyProtection="1">
      <alignment vertical="top" wrapText="1"/>
      <protection locked="0"/>
    </xf>
    <xf numFmtId="0" fontId="8" fillId="2" borderId="1" xfId="2" applyFont="1" applyFill="1" applyBorder="1" applyAlignment="1" applyProtection="1">
      <alignment horizontal="center" vertical="center" wrapText="1"/>
      <protection locked="0"/>
    </xf>
    <xf numFmtId="0" fontId="9" fillId="2" borderId="1" xfId="1" applyFont="1" applyFill="1" applyBorder="1" applyAlignment="1" applyProtection="1">
      <alignment horizontal="center"/>
      <protection locked="0"/>
    </xf>
    <xf numFmtId="10" fontId="9" fillId="2" borderId="1" xfId="1" applyNumberFormat="1" applyFont="1" applyFill="1" applyBorder="1" applyAlignment="1" applyProtection="1">
      <alignment horizontal="center"/>
      <protection locked="0"/>
    </xf>
    <xf numFmtId="0" fontId="8" fillId="2" borderId="3" xfId="2" applyFont="1" applyFill="1" applyBorder="1" applyAlignment="1" applyProtection="1">
      <alignment horizontal="center" vertical="top" wrapText="1"/>
      <protection locked="0"/>
    </xf>
    <xf numFmtId="0" fontId="8" fillId="2" borderId="4" xfId="2" applyFont="1" applyFill="1" applyBorder="1" applyAlignment="1" applyProtection="1">
      <alignment horizontal="center" vertical="top" wrapText="1"/>
      <protection locked="0"/>
    </xf>
    <xf numFmtId="0" fontId="8" fillId="2" borderId="2" xfId="2" applyFont="1" applyFill="1" applyBorder="1" applyAlignment="1" applyProtection="1">
      <alignment horizontal="center" vertical="top" wrapText="1"/>
      <protection locked="0"/>
    </xf>
    <xf numFmtId="0" fontId="2" fillId="2" borderId="1" xfId="1" applyFont="1" applyFill="1" applyBorder="1" applyAlignment="1" applyProtection="1">
      <alignment horizontal="center" vertical="center"/>
      <protection locked="0"/>
    </xf>
    <xf numFmtId="0" fontId="7" fillId="3" borderId="3" xfId="1" applyFont="1" applyFill="1" applyBorder="1" applyAlignment="1" applyProtection="1">
      <alignment horizontal="center" vertical="top" wrapText="1"/>
      <protection locked="0"/>
    </xf>
    <xf numFmtId="0" fontId="7" fillId="3" borderId="4" xfId="1" applyFont="1" applyFill="1" applyBorder="1" applyAlignment="1" applyProtection="1">
      <alignment horizontal="center" vertical="top" wrapText="1"/>
      <protection locked="0"/>
    </xf>
    <xf numFmtId="0" fontId="7" fillId="3" borderId="2" xfId="1" applyFont="1" applyFill="1" applyBorder="1" applyAlignment="1" applyProtection="1">
      <alignment horizontal="center" vertical="top" wrapText="1"/>
      <protection locked="0"/>
    </xf>
    <xf numFmtId="0" fontId="10" fillId="4" borderId="5" xfId="1" applyFont="1" applyFill="1" applyBorder="1" applyAlignment="1" applyProtection="1">
      <alignment horizontal="center" vertical="top" wrapText="1"/>
      <protection locked="0"/>
    </xf>
    <xf numFmtId="0" fontId="10" fillId="4" borderId="6" xfId="1" applyFont="1" applyFill="1" applyBorder="1" applyAlignment="1" applyProtection="1">
      <alignment horizontal="center" vertical="top" wrapText="1"/>
      <protection locked="0"/>
    </xf>
    <xf numFmtId="0" fontId="10" fillId="4" borderId="7" xfId="1" applyFont="1" applyFill="1" applyBorder="1" applyAlignment="1" applyProtection="1">
      <alignment horizontal="center" vertical="top" wrapText="1"/>
      <protection locked="0"/>
    </xf>
    <xf numFmtId="0" fontId="10" fillId="4" borderId="8" xfId="1" applyFont="1" applyFill="1" applyBorder="1" applyAlignment="1" applyProtection="1">
      <alignment horizontal="center" vertical="top" wrapText="1"/>
      <protection locked="0"/>
    </xf>
    <xf numFmtId="0" fontId="10" fillId="4" borderId="0" xfId="1" applyFont="1" applyFill="1" applyBorder="1" applyAlignment="1" applyProtection="1">
      <alignment horizontal="center" vertical="top" wrapText="1"/>
      <protection locked="0"/>
    </xf>
    <xf numFmtId="0" fontId="10" fillId="4" borderId="9" xfId="1" applyFont="1" applyFill="1" applyBorder="1" applyAlignment="1" applyProtection="1">
      <alignment horizontal="center" vertical="top" wrapText="1"/>
      <protection locked="0"/>
    </xf>
    <xf numFmtId="0" fontId="7" fillId="3" borderId="3" xfId="1" applyFont="1" applyFill="1" applyBorder="1" applyAlignment="1" applyProtection="1">
      <alignment horizontal="center" vertical="center" wrapText="1"/>
      <protection locked="0"/>
    </xf>
    <xf numFmtId="0" fontId="7" fillId="3" borderId="2" xfId="1" applyFont="1" applyFill="1" applyBorder="1" applyAlignment="1" applyProtection="1">
      <alignment horizontal="center" vertical="center" wrapText="1"/>
      <protection locked="0"/>
    </xf>
    <xf numFmtId="0" fontId="9" fillId="2" borderId="3" xfId="2" applyFont="1" applyFill="1" applyBorder="1" applyAlignment="1" applyProtection="1">
      <alignment horizontal="left" vertical="center" wrapText="1"/>
      <protection locked="0"/>
    </xf>
    <xf numFmtId="0" fontId="9" fillId="2" borderId="2" xfId="2" applyFont="1" applyFill="1" applyBorder="1" applyAlignment="1" applyProtection="1">
      <alignment horizontal="left" vertical="center" wrapText="1"/>
      <protection locked="0"/>
    </xf>
    <xf numFmtId="0" fontId="9" fillId="2" borderId="1" xfId="2" applyFont="1" applyFill="1" applyBorder="1" applyAlignment="1" applyProtection="1">
      <alignment horizontal="left" vertical="center" wrapText="1"/>
      <protection locked="0"/>
    </xf>
    <xf numFmtId="0" fontId="9" fillId="2" borderId="1" xfId="1" applyFont="1" applyFill="1" applyBorder="1" applyAlignment="1" applyProtection="1">
      <alignment horizontal="center"/>
      <protection locked="0"/>
    </xf>
    <xf numFmtId="0" fontId="11" fillId="2" borderId="3" xfId="2" applyFont="1" applyFill="1" applyBorder="1" applyAlignment="1" applyProtection="1">
      <alignment horizontal="center" vertical="top" wrapText="1"/>
      <protection locked="0"/>
    </xf>
    <xf numFmtId="0" fontId="11" fillId="2" borderId="4" xfId="2" applyFont="1" applyFill="1" applyBorder="1" applyAlignment="1" applyProtection="1">
      <alignment horizontal="center" vertical="top" wrapText="1"/>
      <protection locked="0"/>
    </xf>
    <xf numFmtId="0" fontId="11" fillId="2" borderId="2" xfId="2" applyFont="1" applyFill="1" applyBorder="1" applyAlignment="1" applyProtection="1">
      <alignment horizontal="center" vertical="top" wrapText="1"/>
      <protection locked="0"/>
    </xf>
    <xf numFmtId="2" fontId="9" fillId="2" borderId="1" xfId="1" applyNumberFormat="1" applyFont="1" applyFill="1" applyBorder="1" applyAlignment="1" applyProtection="1">
      <alignment horizontal="center"/>
      <protection locked="0"/>
    </xf>
  </cellXfs>
  <cellStyles count="3">
    <cellStyle name="??" xfId="1"/>
    <cellStyle name="Normal" xfId="0" builtinId="0"/>
    <cellStyle name="常规_QM01T02同行评审总结报告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29"/>
  <sheetViews>
    <sheetView showGridLines="0" tabSelected="1" zoomScale="90" zoomScaleNormal="90" workbookViewId="0">
      <selection activeCell="D6" sqref="D6"/>
    </sheetView>
  </sheetViews>
  <sheetFormatPr defaultColWidth="9" defaultRowHeight="14"/>
  <cols>
    <col min="1" max="1" width="18.26953125" style="8" customWidth="1"/>
    <col min="2" max="2" width="22.08984375" style="8" customWidth="1"/>
    <col min="3" max="3" width="20.08984375" style="8" customWidth="1"/>
    <col min="4" max="4" width="72" style="8" customWidth="1"/>
    <col min="5" max="5" width="14.453125" style="8" customWidth="1"/>
    <col min="6" max="6" width="11.36328125" style="8" customWidth="1"/>
    <col min="7" max="7" width="9.453125" style="8" customWidth="1"/>
    <col min="8" max="8" width="7.08984375" style="8" customWidth="1"/>
    <col min="9" max="9" width="22.1796875" style="8" customWidth="1"/>
    <col min="10" max="10" width="14" style="8" hidden="1" customWidth="1"/>
    <col min="11" max="11" width="9.453125" style="7" customWidth="1"/>
    <col min="12" max="12" width="10.90625" style="7" customWidth="1"/>
    <col min="13" max="36" width="9" style="7"/>
    <col min="37" max="37" width="5.453125" style="7" customWidth="1"/>
    <col min="38" max="16384" width="9" style="7"/>
  </cols>
  <sheetData>
    <row r="1" spans="1:12" s="5" customFormat="1" ht="40.5" customHeight="1">
      <c r="A1" s="1"/>
      <c r="B1" s="1"/>
      <c r="C1" s="1"/>
      <c r="D1" s="1"/>
      <c r="E1" s="1"/>
      <c r="F1" s="1"/>
      <c r="G1" s="1"/>
      <c r="H1" s="2"/>
      <c r="I1" s="2"/>
      <c r="J1" s="2"/>
      <c r="K1" s="3"/>
      <c r="L1" s="4"/>
    </row>
    <row r="2" spans="1:12" s="6" customFormat="1" ht="37.5" customHeight="1">
      <c r="A2" s="27" t="s">
        <v>11</v>
      </c>
      <c r="B2" s="27"/>
      <c r="C2" s="27"/>
      <c r="D2" s="27"/>
      <c r="E2" s="27"/>
      <c r="F2" s="27"/>
      <c r="G2" s="27"/>
      <c r="H2" s="27"/>
      <c r="I2" s="27"/>
      <c r="J2" s="9"/>
    </row>
    <row r="3" spans="1:12" s="6" customFormat="1" ht="20.149999999999999" customHeight="1">
      <c r="A3" s="10" t="s">
        <v>20</v>
      </c>
      <c r="B3" s="42"/>
      <c r="C3" s="42"/>
      <c r="D3" s="42"/>
      <c r="E3" s="28" t="s">
        <v>0</v>
      </c>
      <c r="F3" s="29"/>
      <c r="G3" s="29"/>
      <c r="H3" s="29"/>
      <c r="I3" s="30"/>
      <c r="J3" s="9"/>
    </row>
    <row r="4" spans="1:12" s="6" customFormat="1" ht="20.149999999999999" customHeight="1">
      <c r="A4" s="10" t="s">
        <v>9</v>
      </c>
      <c r="B4" s="22"/>
      <c r="C4" s="10" t="s">
        <v>18</v>
      </c>
      <c r="D4" s="22"/>
      <c r="E4" s="31" t="s">
        <v>1</v>
      </c>
      <c r="F4" s="32"/>
      <c r="G4" s="32"/>
      <c r="H4" s="32"/>
      <c r="I4" s="33"/>
      <c r="J4" s="9"/>
    </row>
    <row r="5" spans="1:12" s="6" customFormat="1" ht="20.149999999999999" customHeight="1">
      <c r="A5" s="10" t="s">
        <v>12</v>
      </c>
      <c r="B5" s="22"/>
      <c r="C5" s="10" t="s">
        <v>13</v>
      </c>
      <c r="D5" s="22"/>
      <c r="E5" s="34"/>
      <c r="F5" s="35"/>
      <c r="G5" s="35"/>
      <c r="H5" s="35"/>
      <c r="I5" s="36"/>
      <c r="J5" s="9"/>
    </row>
    <row r="6" spans="1:12" s="6" customFormat="1" ht="20.149999999999999" customHeight="1">
      <c r="A6" s="10" t="s">
        <v>17</v>
      </c>
      <c r="B6" s="22"/>
      <c r="C6" s="10" t="s">
        <v>16</v>
      </c>
      <c r="D6" s="22"/>
      <c r="E6" s="34"/>
      <c r="F6" s="35"/>
      <c r="G6" s="35"/>
      <c r="H6" s="35"/>
      <c r="I6" s="36"/>
      <c r="J6" s="9"/>
    </row>
    <row r="7" spans="1:12" s="6" customFormat="1" ht="20.149999999999999" customHeight="1">
      <c r="A7" s="10" t="s">
        <v>22</v>
      </c>
      <c r="B7" s="46" t="e">
        <f>C21/D6</f>
        <v>#DIV/0!</v>
      </c>
      <c r="C7" s="10" t="s">
        <v>23</v>
      </c>
      <c r="D7" s="46" t="e">
        <f>D6/((B6*B5)/8)</f>
        <v>#DIV/0!</v>
      </c>
      <c r="E7" s="34"/>
      <c r="F7" s="35"/>
      <c r="G7" s="35"/>
      <c r="H7" s="35"/>
      <c r="I7" s="36"/>
      <c r="J7" s="9"/>
    </row>
    <row r="8" spans="1:12" s="6" customFormat="1" ht="20.149999999999999" customHeight="1">
      <c r="A8" s="16" t="s">
        <v>8</v>
      </c>
      <c r="B8" s="23"/>
      <c r="C8" s="23"/>
      <c r="D8" s="23"/>
      <c r="E8" s="17"/>
      <c r="F8" s="17"/>
      <c r="G8" s="17"/>
      <c r="H8" s="17"/>
      <c r="I8" s="18"/>
      <c r="J8" s="9"/>
    </row>
    <row r="9" spans="1:12" s="6" customFormat="1" ht="27.75" customHeight="1">
      <c r="A9" s="43" t="s">
        <v>2</v>
      </c>
      <c r="B9" s="44"/>
      <c r="C9" s="44"/>
      <c r="D9" s="44"/>
      <c r="E9" s="44"/>
      <c r="F9" s="44"/>
      <c r="G9" s="44"/>
      <c r="H9" s="44"/>
      <c r="I9" s="45"/>
      <c r="J9" s="9"/>
    </row>
    <row r="10" spans="1:12" s="6" customFormat="1" ht="33.75" customHeight="1">
      <c r="A10" s="37" t="s">
        <v>7</v>
      </c>
      <c r="B10" s="38"/>
      <c r="C10" s="11" t="s">
        <v>3</v>
      </c>
      <c r="D10" s="11" t="s">
        <v>10</v>
      </c>
      <c r="E10" s="11" t="s">
        <v>4</v>
      </c>
      <c r="F10" s="11" t="s">
        <v>5</v>
      </c>
      <c r="G10" s="12" t="s">
        <v>6</v>
      </c>
      <c r="H10" s="37" t="s">
        <v>14</v>
      </c>
      <c r="I10" s="38"/>
      <c r="J10" s="9"/>
    </row>
    <row r="11" spans="1:12" ht="20.149999999999999" customHeight="1">
      <c r="A11" s="39"/>
      <c r="B11" s="40"/>
      <c r="C11" s="13"/>
      <c r="D11" s="13"/>
      <c r="E11" s="13"/>
      <c r="F11" s="13"/>
      <c r="G11" s="13"/>
      <c r="H11" s="41"/>
      <c r="I11" s="41"/>
    </row>
    <row r="12" spans="1:12" s="15" customFormat="1" ht="20.149999999999999" customHeight="1">
      <c r="A12" s="39"/>
      <c r="B12" s="40"/>
      <c r="C12" s="13"/>
      <c r="D12" s="13"/>
      <c r="E12" s="13"/>
      <c r="F12" s="13"/>
      <c r="G12" s="13"/>
      <c r="H12" s="41"/>
      <c r="I12" s="41"/>
      <c r="J12" s="14"/>
    </row>
    <row r="13" spans="1:12" ht="20.149999999999999" customHeight="1">
      <c r="A13" s="39"/>
      <c r="B13" s="40"/>
      <c r="C13" s="13"/>
      <c r="D13" s="13"/>
      <c r="E13" s="13"/>
      <c r="F13" s="13"/>
      <c r="G13" s="13"/>
      <c r="H13" s="41"/>
      <c r="I13" s="41"/>
      <c r="J13" s="8" t="e">
        <f>CONCATENATE(#REF!,C11)</f>
        <v>#REF!</v>
      </c>
    </row>
    <row r="14" spans="1:12" ht="20.149999999999999" customHeight="1">
      <c r="A14" s="39"/>
      <c r="B14" s="40"/>
      <c r="C14" s="13"/>
      <c r="D14" s="13"/>
      <c r="E14" s="13"/>
      <c r="F14" s="13"/>
      <c r="G14" s="13"/>
      <c r="H14" s="41"/>
      <c r="I14" s="41"/>
      <c r="J14" s="8" t="e">
        <f>CONCATENATE(#REF!,C12)</f>
        <v>#REF!</v>
      </c>
    </row>
    <row r="15" spans="1:12" ht="20.149999999999999" customHeight="1">
      <c r="A15" s="39"/>
      <c r="B15" s="40"/>
      <c r="C15" s="13"/>
      <c r="D15" s="13"/>
      <c r="E15" s="13"/>
      <c r="F15" s="13"/>
      <c r="G15" s="13"/>
      <c r="H15" s="41"/>
      <c r="I15" s="41"/>
      <c r="J15" s="8" t="e">
        <f>CONCATENATE(#REF!,C13)</f>
        <v>#REF!</v>
      </c>
    </row>
    <row r="16" spans="1:12" ht="20.149999999999999" customHeight="1">
      <c r="A16" s="39"/>
      <c r="B16" s="40"/>
      <c r="C16" s="13"/>
      <c r="D16" s="13"/>
      <c r="E16" s="13"/>
      <c r="F16" s="13"/>
      <c r="G16" s="13"/>
      <c r="H16" s="41"/>
      <c r="I16" s="41"/>
      <c r="J16" s="8" t="e">
        <f>CONCATENATE(#REF!,C14)</f>
        <v>#REF!</v>
      </c>
    </row>
    <row r="17" spans="1:10" ht="20.149999999999999" customHeight="1">
      <c r="A17" s="39"/>
      <c r="B17" s="40"/>
      <c r="C17" s="13"/>
      <c r="D17" s="13"/>
      <c r="E17" s="13"/>
      <c r="F17" s="13"/>
      <c r="G17" s="13"/>
      <c r="H17" s="41"/>
      <c r="I17" s="41"/>
      <c r="J17" s="8" t="e">
        <f>CONCATENATE(#REF!,C15)</f>
        <v>#REF!</v>
      </c>
    </row>
    <row r="18" spans="1:10" ht="20.149999999999999" customHeight="1">
      <c r="A18" s="39"/>
      <c r="B18" s="40"/>
      <c r="C18" s="13"/>
      <c r="D18" s="13"/>
      <c r="E18" s="13"/>
      <c r="F18" s="13"/>
      <c r="G18" s="13"/>
      <c r="H18" s="41"/>
      <c r="I18" s="41"/>
      <c r="J18" s="8" t="e">
        <f>CONCATENATE(#REF!,C16)</f>
        <v>#REF!</v>
      </c>
    </row>
    <row r="19" spans="1:10" ht="20.149999999999999" customHeight="1">
      <c r="A19" s="39"/>
      <c r="B19" s="40"/>
      <c r="C19" s="13"/>
      <c r="D19" s="13"/>
      <c r="E19" s="13"/>
      <c r="F19" s="13"/>
      <c r="G19" s="13"/>
      <c r="H19" s="41"/>
      <c r="I19" s="41"/>
      <c r="J19" s="8" t="e">
        <f>CONCATENATE(#REF!,C17)</f>
        <v>#REF!</v>
      </c>
    </row>
    <row r="20" spans="1:10" ht="20.149999999999999" customHeight="1">
      <c r="A20" s="39"/>
      <c r="B20" s="40"/>
      <c r="C20" s="13"/>
      <c r="D20" s="13"/>
      <c r="E20" s="13"/>
      <c r="F20" s="13"/>
      <c r="G20" s="13"/>
      <c r="H20" s="41"/>
      <c r="I20" s="41"/>
      <c r="J20" s="8" t="e">
        <f>CONCATENATE(#REF!,C18)</f>
        <v>#REF!</v>
      </c>
    </row>
    <row r="21" spans="1:10" ht="30.75" customHeight="1">
      <c r="A21" s="19" t="s">
        <v>21</v>
      </c>
      <c r="B21" s="20" t="s">
        <v>19</v>
      </c>
      <c r="C21" s="21">
        <f>COUNTIF(C11:C20,"&lt;&gt;")</f>
        <v>0</v>
      </c>
      <c r="D21" s="24" t="s">
        <v>15</v>
      </c>
      <c r="E21" s="25"/>
      <c r="F21" s="25"/>
      <c r="G21" s="25"/>
      <c r="H21" s="25"/>
      <c r="I21" s="26"/>
      <c r="J21" s="8" t="e">
        <f>CONCATENATE(#REF!,#REF!)</f>
        <v>#REF!</v>
      </c>
    </row>
    <row r="22" spans="1:10">
      <c r="J22" s="8" t="e">
        <f>CONCATENATE(#REF!,#REF!)</f>
        <v>#REF!</v>
      </c>
    </row>
    <row r="23" spans="1:10">
      <c r="J23" s="8" t="e">
        <f>CONCATENATE(#REF!,C21)</f>
        <v>#REF!</v>
      </c>
    </row>
    <row r="24" spans="1:10">
      <c r="J24" s="8" t="e">
        <f>CONCATENATE(#REF!,C22)</f>
        <v>#REF!</v>
      </c>
    </row>
    <row r="25" spans="1:10">
      <c r="J25" s="8" t="e">
        <f>CONCATENATE(#REF!,C23)</f>
        <v>#REF!</v>
      </c>
    </row>
    <row r="26" spans="1:10">
      <c r="J26" s="8" t="e">
        <f>CONCATENATE(#REF!,C24)</f>
        <v>#REF!</v>
      </c>
    </row>
    <row r="27" spans="1:10">
      <c r="J27" s="8" t="e">
        <f>CONCATENATE(#REF!,C25)</f>
        <v>#REF!</v>
      </c>
    </row>
    <row r="28" spans="1:10">
      <c r="J28" s="8" t="e">
        <f>CONCATENATE(#REF!,C26)</f>
        <v>#REF!</v>
      </c>
    </row>
    <row r="29" spans="1:10">
      <c r="J29" s="8" t="e">
        <f>CONCATENATE(#REF!,C27)</f>
        <v>#REF!</v>
      </c>
    </row>
    <row r="30" spans="1:10">
      <c r="J30" s="8" t="e">
        <f>CONCATENATE(#REF!,C28)</f>
        <v>#REF!</v>
      </c>
    </row>
    <row r="31" spans="1:10">
      <c r="J31" s="8" t="e">
        <f>CONCATENATE(#REF!,C29)</f>
        <v>#REF!</v>
      </c>
    </row>
    <row r="32" spans="1:10">
      <c r="J32" s="8" t="e">
        <f>CONCATENATE(#REF!,C30)</f>
        <v>#REF!</v>
      </c>
    </row>
    <row r="33" spans="10:10">
      <c r="J33" s="8" t="e">
        <f>CONCATENATE(#REF!,C31)</f>
        <v>#REF!</v>
      </c>
    </row>
    <row r="34" spans="10:10">
      <c r="J34" s="8" t="e">
        <f>CONCATENATE(#REF!,C32)</f>
        <v>#REF!</v>
      </c>
    </row>
    <row r="35" spans="10:10">
      <c r="J35" s="8" t="e">
        <f>CONCATENATE(#REF!,C33)</f>
        <v>#REF!</v>
      </c>
    </row>
    <row r="36" spans="10:10">
      <c r="J36" s="8" t="e">
        <f>CONCATENATE(#REF!,C34)</f>
        <v>#REF!</v>
      </c>
    </row>
    <row r="37" spans="10:10">
      <c r="J37" s="8" t="e">
        <f>CONCATENATE(#REF!,C35)</f>
        <v>#REF!</v>
      </c>
    </row>
    <row r="38" spans="10:10">
      <c r="J38" s="8" t="e">
        <f>CONCATENATE(#REF!,C36)</f>
        <v>#REF!</v>
      </c>
    </row>
    <row r="39" spans="10:10">
      <c r="J39" s="8" t="e">
        <f>CONCATENATE(#REF!,C37)</f>
        <v>#REF!</v>
      </c>
    </row>
    <row r="40" spans="10:10">
      <c r="J40" s="8" t="e">
        <f>CONCATENATE(#REF!,C38)</f>
        <v>#REF!</v>
      </c>
    </row>
    <row r="41" spans="10:10">
      <c r="J41" s="8" t="e">
        <f>CONCATENATE(#REF!,C39)</f>
        <v>#REF!</v>
      </c>
    </row>
    <row r="42" spans="10:10">
      <c r="J42" s="8" t="e">
        <f>CONCATENATE(#REF!,C40)</f>
        <v>#REF!</v>
      </c>
    </row>
    <row r="43" spans="10:10">
      <c r="J43" s="8" t="e">
        <f>CONCATENATE(#REF!,C41)</f>
        <v>#REF!</v>
      </c>
    </row>
    <row r="44" spans="10:10">
      <c r="J44" s="8" t="e">
        <f>CONCATENATE(#REF!,C42)</f>
        <v>#REF!</v>
      </c>
    </row>
    <row r="45" spans="10:10">
      <c r="J45" s="8" t="e">
        <f>CONCATENATE(#REF!,C43)</f>
        <v>#REF!</v>
      </c>
    </row>
    <row r="46" spans="10:10">
      <c r="J46" s="8" t="e">
        <f>CONCATENATE(#REF!,C44)</f>
        <v>#REF!</v>
      </c>
    </row>
    <row r="47" spans="10:10">
      <c r="J47" s="8" t="e">
        <f>CONCATENATE(#REF!,C45)</f>
        <v>#REF!</v>
      </c>
    </row>
    <row r="48" spans="10:10">
      <c r="J48" s="8" t="e">
        <f>CONCATENATE(#REF!,C46)</f>
        <v>#REF!</v>
      </c>
    </row>
    <row r="49" spans="10:10">
      <c r="J49" s="8" t="e">
        <f>CONCATENATE(#REF!,C47)</f>
        <v>#REF!</v>
      </c>
    </row>
    <row r="50" spans="10:10">
      <c r="J50" s="8" t="e">
        <f>CONCATENATE(#REF!,C48)</f>
        <v>#REF!</v>
      </c>
    </row>
    <row r="51" spans="10:10">
      <c r="J51" s="8" t="e">
        <f>CONCATENATE(#REF!,C49)</f>
        <v>#REF!</v>
      </c>
    </row>
    <row r="52" spans="10:10">
      <c r="J52" s="8" t="e">
        <f>CONCATENATE(#REF!,C50)</f>
        <v>#REF!</v>
      </c>
    </row>
    <row r="53" spans="10:10">
      <c r="J53" s="8" t="e">
        <f>CONCATENATE(#REF!,C51)</f>
        <v>#REF!</v>
      </c>
    </row>
    <row r="54" spans="10:10">
      <c r="J54" s="8" t="e">
        <f>CONCATENATE(#REF!,C52)</f>
        <v>#REF!</v>
      </c>
    </row>
    <row r="55" spans="10:10">
      <c r="J55" s="8" t="e">
        <f>CONCATENATE(#REF!,C53)</f>
        <v>#REF!</v>
      </c>
    </row>
    <row r="56" spans="10:10">
      <c r="J56" s="8" t="e">
        <f>CONCATENATE(#REF!,C54)</f>
        <v>#REF!</v>
      </c>
    </row>
    <row r="57" spans="10:10">
      <c r="J57" s="8" t="e">
        <f>CONCATENATE(#REF!,C55)</f>
        <v>#REF!</v>
      </c>
    </row>
    <row r="58" spans="10:10">
      <c r="J58" s="8" t="e">
        <f>CONCATENATE(#REF!,C56)</f>
        <v>#REF!</v>
      </c>
    </row>
    <row r="59" spans="10:10">
      <c r="J59" s="8" t="e">
        <f>CONCATENATE(#REF!,C57)</f>
        <v>#REF!</v>
      </c>
    </row>
    <row r="60" spans="10:10">
      <c r="J60" s="8" t="e">
        <f>CONCATENATE(#REF!,C58)</f>
        <v>#REF!</v>
      </c>
    </row>
    <row r="61" spans="10:10">
      <c r="J61" s="8" t="e">
        <f>CONCATENATE(#REF!,C59)</f>
        <v>#REF!</v>
      </c>
    </row>
    <row r="62" spans="10:10">
      <c r="J62" s="8" t="e">
        <f>CONCATENATE(#REF!,C60)</f>
        <v>#REF!</v>
      </c>
    </row>
    <row r="63" spans="10:10">
      <c r="J63" s="8" t="e">
        <f>CONCATENATE(#REF!,C61)</f>
        <v>#REF!</v>
      </c>
    </row>
    <row r="64" spans="10:10">
      <c r="J64" s="8" t="e">
        <f>CONCATENATE(#REF!,C62)</f>
        <v>#REF!</v>
      </c>
    </row>
    <row r="65" spans="10:10">
      <c r="J65" s="8" t="e">
        <f>CONCATENATE(#REF!,C63)</f>
        <v>#REF!</v>
      </c>
    </row>
    <row r="66" spans="10:10">
      <c r="J66" s="8" t="e">
        <f>CONCATENATE(#REF!,C64)</f>
        <v>#REF!</v>
      </c>
    </row>
    <row r="67" spans="10:10">
      <c r="J67" s="8" t="e">
        <f>CONCATENATE(#REF!,C65)</f>
        <v>#REF!</v>
      </c>
    </row>
    <row r="68" spans="10:10">
      <c r="J68" s="8" t="e">
        <f>CONCATENATE(#REF!,C66)</f>
        <v>#REF!</v>
      </c>
    </row>
    <row r="69" spans="10:10">
      <c r="J69" s="8" t="e">
        <f>CONCATENATE(#REF!,C67)</f>
        <v>#REF!</v>
      </c>
    </row>
    <row r="70" spans="10:10">
      <c r="J70" s="8" t="e">
        <f>CONCATENATE(#REF!,C68)</f>
        <v>#REF!</v>
      </c>
    </row>
    <row r="71" spans="10:10">
      <c r="J71" s="8" t="e">
        <f>CONCATENATE(#REF!,C69)</f>
        <v>#REF!</v>
      </c>
    </row>
    <row r="72" spans="10:10">
      <c r="J72" s="8" t="e">
        <f>CONCATENATE(#REF!,C70)</f>
        <v>#REF!</v>
      </c>
    </row>
    <row r="73" spans="10:10">
      <c r="J73" s="8" t="e">
        <f>CONCATENATE(#REF!,C71)</f>
        <v>#REF!</v>
      </c>
    </row>
    <row r="74" spans="10:10">
      <c r="J74" s="8" t="e">
        <f>CONCATENATE(#REF!,C72)</f>
        <v>#REF!</v>
      </c>
    </row>
    <row r="75" spans="10:10">
      <c r="J75" s="8" t="e">
        <f>CONCATENATE(#REF!,C73)</f>
        <v>#REF!</v>
      </c>
    </row>
    <row r="76" spans="10:10">
      <c r="J76" s="8" t="e">
        <f>CONCATENATE(#REF!,C74)</f>
        <v>#REF!</v>
      </c>
    </row>
    <row r="77" spans="10:10">
      <c r="J77" s="8" t="e">
        <f>CONCATENATE(#REF!,C75)</f>
        <v>#REF!</v>
      </c>
    </row>
    <row r="78" spans="10:10">
      <c r="J78" s="8" t="e">
        <f>CONCATENATE(#REF!,C76)</f>
        <v>#REF!</v>
      </c>
    </row>
    <row r="79" spans="10:10">
      <c r="J79" s="8" t="e">
        <f>CONCATENATE(#REF!,C77)</f>
        <v>#REF!</v>
      </c>
    </row>
    <row r="80" spans="10:10">
      <c r="J80" s="8" t="e">
        <f>CONCATENATE(#REF!,C78)</f>
        <v>#REF!</v>
      </c>
    </row>
    <row r="81" spans="10:10">
      <c r="J81" s="8" t="e">
        <f>CONCATENATE(#REF!,C79)</f>
        <v>#REF!</v>
      </c>
    </row>
    <row r="82" spans="10:10">
      <c r="J82" s="8" t="e">
        <f>CONCATENATE(#REF!,C80)</f>
        <v>#REF!</v>
      </c>
    </row>
    <row r="83" spans="10:10">
      <c r="J83" s="8" t="e">
        <f>CONCATENATE(#REF!,C81)</f>
        <v>#REF!</v>
      </c>
    </row>
    <row r="84" spans="10:10">
      <c r="J84" s="8" t="e">
        <f>CONCATENATE(#REF!,C82)</f>
        <v>#REF!</v>
      </c>
    </row>
    <row r="85" spans="10:10">
      <c r="J85" s="8" t="e">
        <f>CONCATENATE(#REF!,C83)</f>
        <v>#REF!</v>
      </c>
    </row>
    <row r="86" spans="10:10">
      <c r="J86" s="8" t="e">
        <f>CONCATENATE(#REF!,C84)</f>
        <v>#REF!</v>
      </c>
    </row>
    <row r="87" spans="10:10">
      <c r="J87" s="8" t="e">
        <f>CONCATENATE(#REF!,C85)</f>
        <v>#REF!</v>
      </c>
    </row>
    <row r="88" spans="10:10">
      <c r="J88" s="8" t="e">
        <f>CONCATENATE(#REF!,C86)</f>
        <v>#REF!</v>
      </c>
    </row>
    <row r="89" spans="10:10">
      <c r="J89" s="8" t="e">
        <f>CONCATENATE(#REF!,C87)</f>
        <v>#REF!</v>
      </c>
    </row>
    <row r="90" spans="10:10">
      <c r="J90" s="8" t="e">
        <f>CONCATENATE(#REF!,C88)</f>
        <v>#REF!</v>
      </c>
    </row>
    <row r="91" spans="10:10">
      <c r="J91" s="8" t="e">
        <f>CONCATENATE(#REF!,C89)</f>
        <v>#REF!</v>
      </c>
    </row>
    <row r="92" spans="10:10">
      <c r="J92" s="8" t="e">
        <f>CONCATENATE(#REF!,C90)</f>
        <v>#REF!</v>
      </c>
    </row>
    <row r="93" spans="10:10">
      <c r="J93" s="8" t="e">
        <f>CONCATENATE(#REF!,C91)</f>
        <v>#REF!</v>
      </c>
    </row>
    <row r="94" spans="10:10">
      <c r="J94" s="8" t="e">
        <f>CONCATENATE(#REF!,C92)</f>
        <v>#REF!</v>
      </c>
    </row>
    <row r="95" spans="10:10">
      <c r="J95" s="8" t="e">
        <f>CONCATENATE(#REF!,C93)</f>
        <v>#REF!</v>
      </c>
    </row>
    <row r="96" spans="10:10">
      <c r="J96" s="8" t="e">
        <f>CONCATENATE(#REF!,C94)</f>
        <v>#REF!</v>
      </c>
    </row>
    <row r="97" spans="10:10">
      <c r="J97" s="8" t="e">
        <f>CONCATENATE(#REF!,C95)</f>
        <v>#REF!</v>
      </c>
    </row>
    <row r="98" spans="10:10">
      <c r="J98" s="8" t="e">
        <f>CONCATENATE(#REF!,C96)</f>
        <v>#REF!</v>
      </c>
    </row>
    <row r="99" spans="10:10">
      <c r="J99" s="8" t="e">
        <f>CONCATENATE(#REF!,C97)</f>
        <v>#REF!</v>
      </c>
    </row>
    <row r="100" spans="10:10">
      <c r="J100" s="8" t="e">
        <f>CONCATENATE(#REF!,C98)</f>
        <v>#REF!</v>
      </c>
    </row>
    <row r="101" spans="10:10">
      <c r="J101" s="8" t="e">
        <f>CONCATENATE(#REF!,C99)</f>
        <v>#REF!</v>
      </c>
    </row>
    <row r="102" spans="10:10">
      <c r="J102" s="8" t="e">
        <f>CONCATENATE(#REF!,C100)</f>
        <v>#REF!</v>
      </c>
    </row>
    <row r="103" spans="10:10">
      <c r="J103" s="8" t="e">
        <f>CONCATENATE(#REF!,C101)</f>
        <v>#REF!</v>
      </c>
    </row>
    <row r="104" spans="10:10">
      <c r="J104" s="8" t="e">
        <f>CONCATENATE(#REF!,C102)</f>
        <v>#REF!</v>
      </c>
    </row>
    <row r="105" spans="10:10">
      <c r="J105" s="8" t="e">
        <f>CONCATENATE(#REF!,C103)</f>
        <v>#REF!</v>
      </c>
    </row>
    <row r="106" spans="10:10">
      <c r="J106" s="8" t="e">
        <f>CONCATENATE(#REF!,C104)</f>
        <v>#REF!</v>
      </c>
    </row>
    <row r="107" spans="10:10">
      <c r="J107" s="8" t="e">
        <f>CONCATENATE(#REF!,C105)</f>
        <v>#REF!</v>
      </c>
    </row>
    <row r="108" spans="10:10">
      <c r="J108" s="8" t="e">
        <f>CONCATENATE(#REF!,C106)</f>
        <v>#REF!</v>
      </c>
    </row>
    <row r="109" spans="10:10">
      <c r="J109" s="8" t="e">
        <f>CONCATENATE(#REF!,C107)</f>
        <v>#REF!</v>
      </c>
    </row>
    <row r="110" spans="10:10">
      <c r="J110" s="8" t="e">
        <f>CONCATENATE(#REF!,C108)</f>
        <v>#REF!</v>
      </c>
    </row>
    <row r="111" spans="10:10">
      <c r="J111" s="8" t="e">
        <f>CONCATENATE(#REF!,C109)</f>
        <v>#REF!</v>
      </c>
    </row>
    <row r="112" spans="10:10">
      <c r="J112" s="8" t="e">
        <f>CONCATENATE(#REF!,C110)</f>
        <v>#REF!</v>
      </c>
    </row>
    <row r="113" spans="10:10">
      <c r="J113" s="8" t="e">
        <f>CONCATENATE(#REF!,C111)</f>
        <v>#REF!</v>
      </c>
    </row>
    <row r="114" spans="10:10">
      <c r="J114" s="8" t="e">
        <f>CONCATENATE(#REF!,C112)</f>
        <v>#REF!</v>
      </c>
    </row>
    <row r="115" spans="10:10">
      <c r="J115" s="8" t="e">
        <f>CONCATENATE(#REF!,C113)</f>
        <v>#REF!</v>
      </c>
    </row>
    <row r="116" spans="10:10">
      <c r="J116" s="8" t="e">
        <f>CONCATENATE(#REF!,C114)</f>
        <v>#REF!</v>
      </c>
    </row>
    <row r="117" spans="10:10">
      <c r="J117" s="8" t="e">
        <f>CONCATENATE(#REF!,C115)</f>
        <v>#REF!</v>
      </c>
    </row>
    <row r="118" spans="10:10">
      <c r="J118" s="8" t="e">
        <f>CONCATENATE(#REF!,C116)</f>
        <v>#REF!</v>
      </c>
    </row>
    <row r="119" spans="10:10">
      <c r="J119" s="8" t="e">
        <f>CONCATENATE(#REF!,C117)</f>
        <v>#REF!</v>
      </c>
    </row>
    <row r="120" spans="10:10">
      <c r="J120" s="8" t="e">
        <f>CONCATENATE(#REF!,C118)</f>
        <v>#REF!</v>
      </c>
    </row>
    <row r="121" spans="10:10">
      <c r="J121" s="8" t="e">
        <f>CONCATENATE(#REF!,C119)</f>
        <v>#REF!</v>
      </c>
    </row>
    <row r="122" spans="10:10">
      <c r="J122" s="8" t="e">
        <f>CONCATENATE(#REF!,C120)</f>
        <v>#REF!</v>
      </c>
    </row>
    <row r="123" spans="10:10">
      <c r="J123" s="8" t="e">
        <f>CONCATENATE(#REF!,C121)</f>
        <v>#REF!</v>
      </c>
    </row>
    <row r="124" spans="10:10">
      <c r="J124" s="8" t="e">
        <f>CONCATENATE(#REF!,C122)</f>
        <v>#REF!</v>
      </c>
    </row>
    <row r="125" spans="10:10">
      <c r="J125" s="8" t="e">
        <f>CONCATENATE(#REF!,C123)</f>
        <v>#REF!</v>
      </c>
    </row>
    <row r="126" spans="10:10">
      <c r="J126" s="8" t="e">
        <f>CONCATENATE(#REF!,C124)</f>
        <v>#REF!</v>
      </c>
    </row>
    <row r="127" spans="10:10">
      <c r="J127" s="8" t="e">
        <f>CONCATENATE(#REF!,C125)</f>
        <v>#REF!</v>
      </c>
    </row>
    <row r="128" spans="10:10">
      <c r="J128" s="8" t="e">
        <f>CONCATENATE(#REF!,C126)</f>
        <v>#REF!</v>
      </c>
    </row>
    <row r="129" spans="10:10">
      <c r="J129" s="8" t="e">
        <f>CONCATENATE(#REF!,C127)</f>
        <v>#REF!</v>
      </c>
    </row>
  </sheetData>
  <sheetProtection formatCells="0" formatColumns="0" formatRows="0" insertColumns="0" insertRows="0" insertHyperlinks="0" deleteColumns="0" deleteRows="0" selectLockedCells="1" sort="0" autoFilter="0" pivotTables="0"/>
  <mergeCells count="29">
    <mergeCell ref="A9:I9"/>
    <mergeCell ref="H14:I14"/>
    <mergeCell ref="A15:B15"/>
    <mergeCell ref="H15:I15"/>
    <mergeCell ref="A19:B19"/>
    <mergeCell ref="H19:I19"/>
    <mergeCell ref="H20:I20"/>
    <mergeCell ref="A16:B16"/>
    <mergeCell ref="H16:I16"/>
    <mergeCell ref="A17:B17"/>
    <mergeCell ref="H17:I17"/>
    <mergeCell ref="A18:B18"/>
    <mergeCell ref="H18:I18"/>
    <mergeCell ref="B8:D8"/>
    <mergeCell ref="D21:I21"/>
    <mergeCell ref="A2:I2"/>
    <mergeCell ref="E3:I3"/>
    <mergeCell ref="E4:I7"/>
    <mergeCell ref="A10:B10"/>
    <mergeCell ref="H10:I10"/>
    <mergeCell ref="A11:B11"/>
    <mergeCell ref="H11:I11"/>
    <mergeCell ref="A12:B12"/>
    <mergeCell ref="H12:I12"/>
    <mergeCell ref="A13:B13"/>
    <mergeCell ref="H13:I13"/>
    <mergeCell ref="A14:B14"/>
    <mergeCell ref="B3:D3"/>
    <mergeCell ref="A20:B20"/>
  </mergeCells>
  <phoneticPr fontId="3" type="noConversion"/>
  <dataValidations count="4">
    <dataValidation type="list" allowBlank="1" showInputMessage="1" showErrorMessage="1" sqref="I22:I65507 E22:G65507">
      <formula1>#REF!</formula1>
    </dataValidation>
    <dataValidation type="list" allowBlank="1" showInputMessage="1" showErrorMessage="1" sqref="C11:C20">
      <formula1>"严重,一般,轻微"</formula1>
    </dataValidation>
    <dataValidation type="list" allowBlank="1" showInputMessage="1" showErrorMessage="1" sqref="F11:F20">
      <formula1>"提出,待验证,已解决,无需解决,延后解决"</formula1>
    </dataValidation>
    <dataValidation type="list" allowBlank="1" showInputMessage="1" showErrorMessage="1" sqref="I11:I20">
      <formula1>"新建,拒绝,已修复,已确认,重新修改"</formula1>
    </dataValidation>
  </dataValidations>
  <pageMargins left="0.75" right="0.75" top="1" bottom="1" header="0.5" footer="0.5"/>
  <pageSetup paperSize="9" scale="5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评审问题记录</vt:lpstr>
      <vt:lpstr>评审问题记录!Print_Area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wuym</dc:creator>
  <cp:lastModifiedBy>Hou Junliang, CIS-20(Dcits)</cp:lastModifiedBy>
  <dcterms:created xsi:type="dcterms:W3CDTF">2022-01-21T06:56:02Z</dcterms:created>
  <dcterms:modified xsi:type="dcterms:W3CDTF">2022-12-29T03:01:51Z</dcterms:modified>
</cp:coreProperties>
</file>